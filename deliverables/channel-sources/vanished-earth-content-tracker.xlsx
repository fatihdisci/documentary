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2cb62429a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a2367ff0483d4633"/>
    <x:sheet xmlns:r="http://schemas.openxmlformats.org/officeDocument/2006/relationships" name="İçerik Takibi" sheetId="2" r:id="Ra3512b7cfddf4b8d"/>
    <x:sheet xmlns:r="http://schemas.openxmlformats.org/officeDocument/2006/relationships" name="Yayın Takvimi" sheetId="3" r:id="Rdfcb38054fb340c3"/>
    <x:sheet xmlns:r="http://schemas.openxmlformats.org/officeDocument/2006/relationships" name="Durumlar &amp; Kurallar" sheetId="4" r:id="Rce2af865f90e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87386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sz val="9"/>
      <x:color rgb="FF1D4ED8"/>
      <x:name val="Carlito"/>
    </x:font>
    <x:font>
      <x:b/>
      <x:sz val="22"/>
      <x:color rgb="FFFFFFFF"/>
      <x:name val="Carlito"/>
    </x:font>
    <x:font>
      <x:b/>
      <x:sz val="10"/>
      <x:color rgb="FF687386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0"/>
      <x:color rgb="FF7F6000"/>
      <x:name val="Carlito"/>
    </x:font>
    <x:font>
      <x:b/>
      <x:sz val="18"/>
      <x:color rgb="FFFFFFFF"/>
      <x:name val="Carlito"/>
    </x:font>
    <x:font>
      <x:b/>
      <x:sz val="11"/>
      <x:color rgb="FFC027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4F0E8"/>
      </x:patternFill>
    </x:fill>
    <x:fill>
      <x:patternFill patternType="solid">
        <x:fgColor rgb="FF20304A"/>
      </x:patternFill>
    </x:fill>
    <x:fill>
      <x:patternFill patternType="solid">
        <x:fgColor rgb="FFFCFBF8"/>
      </x:patternFill>
    </x:fill>
    <x:fill>
      <x:patternFill patternType="solid">
        <x:fgColor rgb="FFC0271F"/>
      </x:patternFill>
    </x:fill>
    <x:fill>
      <x:patternFill patternType="solid">
        <x:fgColor rgb="FFFFF2CC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4CA"/>
      </x:bottom>
    </x:border>
    <x:border>
      <x:top style="thin">
        <x:color rgb="FFD9D4CA"/>
      </x:top>
      <x:bottom style="thin">
        <x:color rgb="FFD9D4CA"/>
      </x:bottom>
    </x:border>
    <x:border>
      <x:top style="thin">
        <x:color rgb="FFD9D4CA"/>
      </x:top>
    </x:border>
    <x:border>
      <x:left style="thin">
        <x:color rgb="FFD9D4CA"/>
      </x:left>
      <x:top style="thin">
        <x:color rgb="FFD9D4CA"/>
      </x:top>
      <x:bottom style="thin">
        <x:color rgb="FFD9D4CA"/>
      </x:bottom>
    </x:border>
    <x:border>
      <x:right style="thin">
        <x:color rgb="FFD9D4CA"/>
      </x:right>
      <x:top style="thin">
        <x:color rgb="FFD9D4CA"/>
      </x:top>
      <x:bottom style="thin">
        <x:color rgb="FFD9D4CA"/>
      </x:bottom>
    </x:border>
    <x:border>
      <x:right style="thin">
        <x:color rgb="FFD9D4CA"/>
      </x:right>
    </x:border>
    <x:border>
      <x:left style="thin">
        <x:color rgb="FFD9D4CA"/>
      </x:left>
      <x:right style="thin">
        <x:color rgb="FFD9D4CA"/>
      </x:right>
    </x:border>
    <x:border>
      <x:left style="thin">
        <x:color rgb="FFD9D4CA"/>
      </x:left>
    </x:border>
    <x:border>
      <x:left style="thin">
        <x:color rgb="FFE5C75B"/>
      </x:left>
      <x:top style="thin">
        <x:color rgb="FFE5C75B"/>
      </x:top>
      <x:bottom style="thin">
        <x:color rgb="FFE5C75B"/>
      </x:bottom>
    </x:border>
    <x:border>
      <x:top style="thin">
        <x:color rgb="FFE5C75B"/>
      </x:top>
      <x:bottom style="thin">
        <x:color rgb="FFE5C75B"/>
      </x:bottom>
    </x:border>
    <x:border>
      <x:right style="thin">
        <x:color rgb="FFE5C75B"/>
      </x:right>
      <x:top style="thin">
        <x:color rgb="FFE5C75B"/>
      </x:top>
      <x:bottom style="thin">
        <x:color rgb="FFE5C75B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0" fillId="5" borderId="7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9" xfId="0" applyNumberFormat="1" applyFont="1" applyFill="1" applyBorder="1" applyAlignment="1">
      <x:alignment horizontal="center"/>
    </x:xf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2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2" xfId="0" applyNumberFormat="1" applyFont="1" applyFill="1" applyBorder="1" applyAlignment="1">
      <x:alignment wrapText="1"/>
    </x:xf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13" fillId="3" borderId="4" xfId="0" applyNumberFormat="1" applyFont="1" applyFill="1" applyBorder="1" applyAlignment="1">
      <x:alignment vertical="center" wrapText="1"/>
    </x:xf>
    <x:xf numFmtId="0" fontId="13" fillId="3" borderId="5" xfId="0" applyNumberFormat="1" applyFont="1" applyFill="1" applyBorder="1" applyAlignment="1">
      <x:alignment vertical="center" wrapText="1"/>
    </x:xf>
    <x:xf numFmtId="0" fontId="13" fillId="3" borderId="6" xfId="0" applyNumberFormat="1" applyFont="1" applyFill="1" applyBorder="1" applyAlignment="1">
      <x:alignment vertical="center" wrapText="1"/>
    </x:xf>
    <x:xf numFmtId="0" fontId="13" fillId="3" borderId="4" xfId="0" applyNumberFormat="1" applyFont="1" applyFill="1" applyBorder="1" applyAlignment="1">
      <x:alignment horizontal="center" vertical="center" wrapText="1"/>
    </x:xf>
    <x:xf numFmtId="0" fontId="13" fillId="3" borderId="5" xfId="0" applyNumberFormat="1" applyFont="1" applyFill="1" applyBorder="1" applyAlignment="1">
      <x:alignment horizontal="center" vertical="center" wrapText="1"/>
    </x:xf>
    <x:xf numFmtId="0" fontId="13" fillId="3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5">
    <x:dxf>
      <x:font>
        <x:b/>
        <x:color rgb="FF1F5E32"/>
      </x:font>
      <x:fill>
        <x:patternFill patternType="solid">
          <x:bgColor rgb="FFD9EAD3"/>
        </x:patternFill>
      </x:fill>
    </x:dxf>
    <x:dxf>
      <x:font>
        <x:b/>
        <x:color rgb="FF205B7A"/>
      </x:font>
      <x:fill>
        <x:patternFill patternType="solid">
          <x:bgColor rgb="FFD9EAF7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  <x:dxf>
      <x:font>
        <x:b/>
        <x:color rgb="FF6941A5"/>
      </x:font>
      <x:fill>
        <x:patternFill patternType="solid">
          <x:bgColor rgb="FFEADC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5E32"/>
      </x:font>
      <x:fill>
        <x:patternFill patternType="solid">
          <x:bgColor rgb="FFD9EAD3"/>
        </x:patternFill>
      </x:fill>
    </x:dxf>
    <x:dxf>
      <x:font>
        <x:b/>
        <x:color rgb="FF205B7A"/>
      </x:font>
      <x:fill>
        <x:patternFill patternType="solid">
          <x:bgColor rgb="FFD9EAF7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  <x:dxf>
      <x:font>
        <x:b/>
        <x:color rgb="FF6941A5"/>
      </x:font>
      <x:fill>
        <x:patternFill patternType="solid">
          <x:bgColor rgb="FFEADC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5E32"/>
      </x:font>
      <x:fill>
        <x:patternFill patternType="solid">
          <x:bgColor rgb="FFD9EAD3"/>
        </x:patternFill>
      </x:fill>
    </x:dxf>
    <x:dxf>
      <x:font>
        <x:b/>
        <x:color rgb="FF205B7A"/>
      </x:font>
      <x:fill>
        <x:patternFill patternType="solid">
          <x:bgColor rgb="FFD9EAF7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  <x:dxf>
      <x:font>
        <x:b/>
        <x:color rgb="FF6941A5"/>
      </x:font>
      <x:fill>
        <x:patternFill patternType="solid">
          <x:bgColor rgb="FFEADC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1F5E32"/>
      </x:font>
      <x:fill>
        <x:patternFill patternType="solid">
          <x:bgColor rgb="FFD9EAD3"/>
        </x:patternFill>
      </x:fill>
    </x:dxf>
    <x:dxf>
      <x:font>
        <x:b/>
        <x:color rgb="FF205B7A"/>
      </x:font>
      <x:fill>
        <x:patternFill patternType="solid">
          <x:bgColor rgb="FFD9EAF7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  <x:dxf>
      <x:font>
        <x:b/>
        <x:color rgb="FF6941A5"/>
      </x:font>
      <x:fill>
        <x:patternFill patternType="solid">
          <x:bgColor rgb="FFEADC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9dbea9b954a0c" /><Relationship Type="http://schemas.openxmlformats.org/officeDocument/2006/relationships/theme" Target="/xl/theme/theme1.xml" Id="Ra0fdde0b33fd4f27" /><Relationship Type="http://schemas.openxmlformats.org/officeDocument/2006/relationships/sharedStrings" Target="/xl/sharedStrings.xml" Id="R5ae6ee4aaed942f3" /><Relationship Type="http://schemas.openxmlformats.org/officeDocument/2006/relationships/worksheet" Target="/xl/worksheets/sheet1.xml" Id="Ra2367ff0483d4633" /><Relationship Type="http://schemas.openxmlformats.org/officeDocument/2006/relationships/worksheet" Target="/xl/worksheets/sheet2.xml" Id="Ra3512b7cfddf4b8d" /><Relationship Type="http://schemas.openxmlformats.org/officeDocument/2006/relationships/worksheet" Target="/xl/worksheets/sheet3.xml" Id="Rdfcb38054fb340c3" /><Relationship Type="http://schemas.openxmlformats.org/officeDocument/2006/relationships/worksheet" Target="/xl/worksheets/sheet4.xml" Id="Rce2af865f90e4908" /></Relationships>
</file>

<file path=xl/tables/table1.xml><?xml version="1.0" encoding="utf-8"?>
<x:table xmlns:x="http://schemas.openxmlformats.org/spreadsheetml/2006/main" id="1" name="ContentTrackerTable" displayName="ContentTrackerTable" ref="A4:N24" headerRowCount="1" totalsRowCount="0" totalsRowShown="0">
  <x:tableColumns count="14">
    <x:tableColumn id="1" name="No"/>
    <x:tableColumn id="2" name="Tür"/>
    <x:tableColumn id="3" name="Bilimsel Ad"/>
    <x:tableColumn id="4" name="Ana Video Durumu"/>
    <x:tableColumn id="5" name="Paket Tarihi"/>
    <x:tableColumn id="6" name="Yayın Tarihi"/>
    <x:tableColumn id="7" name="Ana Video URL"/>
    <x:tableColumn id="8" name="Short Planı"/>
    <x:tableColumn id="9" name="URL'li Short"/>
    <x:tableColumn id="10" name="Shorts Durumu"/>
    <x:tableColumn id="11" name="Sıradaki İş"/>
    <x:tableColumn id="12" name="Notlar"/>
    <x:tableColumn id="13" name="Kaynak"/>
    <x:tableColumn id="14" name="Son Güncelle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CalendarTable" displayName="ReleaseCalendarTable" ref="A4:L33" headerRowCount="1" totalsRowCount="0" totalsRowShown="0">
  <x:tableColumns count="12">
    <x:tableColumn id="1" name="Bölüm No"/>
    <x:tableColumn id="2" name="Tür"/>
    <x:tableColumn id="3" name="Tip"/>
    <x:tableColumn id="4" name="Başlık"/>
    <x:tableColumn id="5" name="Planlanan Yayın"/>
    <x:tableColumn id="6" name="Durum"/>
    <x:tableColumn id="7" name="YouTube URL"/>
    <x:tableColumn id="8" name="Bildirim"/>
    <x:tableColumn id="9" name="Dosya / Hazırlık"/>
    <x:tableColumn id="10" name="Not"/>
    <x:tableColumn id="11" name="Kaynak"/>
    <x:tableColumn id="12" name="Takip Uyarı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27f595e270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ea3119c5d34e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5" hidden="0" customWidth="1"/>
  </x:cols>
  <x:sheetData>
    <x:row r="1">
      <x:c r="A1" s="69" t="str">
        <x:v>VANISHED EARTH — ÜRETİM PANOSU</x:v>
      </x:c>
      <x:c r="B1" s="69"/>
      <x:c r="C1" s="69"/>
      <x:c r="D1" s="69"/>
      <x:c r="E1" s="69"/>
      <x:c r="F1" s="69"/>
      <x:c r="G1" s="69"/>
      <x:c r="H1" s="69"/>
    </x:row>
    <x:row r="2">
      <x:c r="A2" s="69"/>
      <x:c r="B2" s="69"/>
      <x:c r="C2" s="69"/>
      <x:c r="D2" s="69"/>
      <x:c r="E2" s="69"/>
      <x:c r="F2" s="69"/>
      <x:c r="G2" s="69"/>
      <x:c r="H2" s="69"/>
    </x:row>
    <x:row r="3">
      <x:c r="A3" s="6" t="str">
        <x:v>Son veri derlemesi: 2026-07-30 · Kaynak: repository tracker ve upload schedule dosyaları</x:v>
      </x:c>
      <x:c r="B3" s="6"/>
      <x:c r="C3" s="6"/>
      <x:c r="D3" s="6"/>
      <x:c r="E3" s="6"/>
      <x:c r="F3" s="6"/>
      <x:c r="G3" s="6"/>
      <x:c r="H3" s="6"/>
    </x:row>
    <x:row r="5" ht="36" customHeight="1">
      <x:c r="A5" s="77" t="str">
        <x:v>Toplam bölüm</x:v>
      </x:c>
      <x:c r="B5" s="78"/>
      <x:c r="C5" s="81" t="n">
        <x:f>COUNTA('İçerik Takibi'!$A$5:$A$24)</x:f>
        <x:v>20</x:v>
      </x:c>
      <x:c r="E5" s="77" t="str">
        <x:v>Yayında uzun</x:v>
      </x:c>
      <x:c r="F5" s="78"/>
      <x:c r="G5" s="84" t="n">
        <x:f>COUNTIF('İçerik Takibi'!$D$5:$D$24,"Published")</x:f>
        <x:v>5</x:v>
      </x:c>
    </x:row>
    <x:row r="7" ht="36" customHeight="1">
      <x:c r="A7" s="77" t="str">
        <x:v>Scheduled uzun</x:v>
      </x:c>
      <x:c r="B7" s="78"/>
      <x:c r="C7" s="81" t="n">
        <x:f>COUNTIF('İçerik Takibi'!$D$5:$D$24,"Scheduled")</x:f>
        <x:v>2</x:v>
      </x:c>
      <x:c r="E7" s="77" t="str">
        <x:v>Paket hazır</x:v>
      </x:c>
      <x:c r="F7" s="78"/>
      <x:c r="G7" s="84" t="n">
        <x:f>COUNTIF('İçerik Takibi'!$D$5:$D$24,"Package Ready")</x:f>
        <x:v>1</x:v>
      </x:c>
    </x:row>
    <x:row r="9" ht="36" customHeight="1">
      <x:c r="A9" s="77" t="str">
        <x:v>Gelecek bölüm</x:v>
      </x:c>
      <x:c r="B9" s="78"/>
      <x:c r="C9" s="81" t="n">
        <x:f>COUNTIF('İçerik Takibi'!$D$5:$D$24,"Planned")</x:f>
        <x:v>12</x:v>
      </x:c>
      <x:c r="E9" s="77" t="str">
        <x:v>Yayında Short</x:v>
      </x:c>
      <x:c r="F9" s="78"/>
      <x:c r="G9" s="84" t="n">
        <x:f>COUNTIFS('Yayın Takvimi'!$C$5:$C$80,"Short",'Yayın Takvimi'!$F$5:$F$80,"Published")</x:f>
        <x:v>3</x:v>
      </x:c>
    </x:row>
    <x:row r="11" ht="36" customHeight="1">
      <x:c r="A11" s="77" t="str">
        <x:v>Scheduled Short</x:v>
      </x:c>
      <x:c r="B11" s="78"/>
      <x:c r="C11" s="81" t="n">
        <x:f>COUNTIFS('Yayın Takvimi'!$C$5:$C$80,"Short",'Yayın Takvimi'!$F$5:$F$80,"Scheduled")</x:f>
        <x:v>6</x:v>
      </x:c>
      <x:c r="E11" s="77" t="str">
        <x:v>Hazır/metadata Short</x:v>
      </x:c>
      <x:c r="F11" s="78"/>
      <x:c r="G11" s="84" t="n">
        <x:f>COUNTIFS('Yayın Takvimi'!$C$5:$C$80,"Short",'Yayın Takvimi'!$F$5:$F$80,"Made")+COUNTIFS('Yayın Takvimi'!$C$5:$C$80,"Short",'Yayın Takvimi'!$F$5:$F$80,"Metadata Ready")</x:f>
        <x:v>9</x:v>
      </x:c>
    </x:row>
    <x:row r="14">
      <x:c r="A14" s="85" t="str">
        <x:v>ŞİMDİ NE YAPILMALI?</x:v>
      </x:c>
      <x:c r="B14" s="85"/>
      <x:c r="C14" s="85"/>
      <x:c r="D14" s="85"/>
      <x:c r="E14" s="85"/>
      <x:c r="F14" s="85"/>
      <x:c r="G14" s="85"/>
      <x:c r="H14" s="85"/>
    </x:row>
    <x:row r="15">
      <x:c r="A15" s="90" t="str">
        <x:v>Öncelik</x:v>
      </x:c>
      <x:c r="B15" s="91" t="str">
        <x:v>Bölüm</x:v>
      </x:c>
      <x:c r="C15" s="91" t="str">
        <x:v>Durum</x:v>
      </x:c>
      <x:c r="D15" s="105" t="str">
        <x:v>Sonraki adım</x:v>
      </x:c>
      <x:c r="E15" s="105" t="str"/>
      <x:c r="F15" s="105" t="str"/>
      <x:c r="G15" s="105" t="str"/>
      <x:c r="H15" s="106" t="str"/>
    </x:row>
    <x:row r="16">
      <x:c r="A16" s="99" t="str">
        <x:v>1</x:v>
      </x:c>
      <x:c r="B16" s="100" t="str">
        <x:v>Pinta Island tortoise</x:v>
      </x:c>
      <x:c r="C16" s="100" t="str">
        <x:v>Scheduled / tarihi geçti</x:v>
      </x:c>
      <x:c r="D16" s="107" t="str">
        <x:v>YouTube'da dört yayını doğrula; Excel durumlarını Published yap</x:v>
      </x:c>
      <x:c r="E16" s="107" t="str"/>
      <x:c r="F16" s="107" t="str"/>
      <x:c r="G16" s="107" t="str"/>
      <x:c r="H16" s="107" t="str"/>
    </x:row>
    <x:row r="17">
      <x:c r="A17" s="101" t="str">
        <x:v>2</x:v>
      </x:c>
      <x:c r="B17" s="102" t="str">
        <x:v>Chinese paddlefish</x:v>
      </x:c>
      <x:c r="C17" s="102" t="str">
        <x:v>Scheduled</x:v>
      </x:c>
      <x:c r="D17" s="108" t="str">
        <x:v>30–31 Temmuz yayınlarını izleyip URL/durum güncelle</x:v>
      </x:c>
      <x:c r="E17" s="108" t="str"/>
      <x:c r="F17" s="108" t="str"/>
      <x:c r="G17" s="108" t="str"/>
      <x:c r="H17" s="108" t="str"/>
    </x:row>
    <x:row r="18">
      <x:c r="A18" s="101" t="str">
        <x:v>3</x:v>
      </x:c>
      <x:c r="B18" s="102" t="str">
        <x:v>Golden toad</x:v>
      </x:c>
      <x:c r="C18" s="102" t="str">
        <x:v>Package Ready</x:v>
      </x:c>
      <x:c r="D18" s="108" t="str">
        <x:v>Görseller, ses, render ve 1–2 Ağustos upload setini tamamla</x:v>
      </x:c>
      <x:c r="E18" s="108" t="str"/>
      <x:c r="F18" s="108" t="str"/>
      <x:c r="G18" s="108" t="str"/>
      <x:c r="H18" s="108" t="str"/>
    </x:row>
    <x:row r="19">
      <x:c r="A19" s="103" t="str">
        <x:v>4</x:v>
      </x:c>
      <x:c r="B19" s="104" t="str">
        <x:v>Rocky Mountain locust</x:v>
      </x:c>
      <x:c r="C19" s="104" t="str">
        <x:v>Planned</x:v>
      </x:c>
      <x:c r="D19" s="109" t="str">
        <x:v>Araştırma ve içerik paketine başla</x:v>
      </x:c>
      <x:c r="E19" s="109" t="str"/>
      <x:c r="F19" s="109" t="str"/>
      <x:c r="G19" s="109" t="str"/>
      <x:c r="H19" s="109" t="str"/>
    </x:row>
    <x:row r="21" ht="42" customHeight="1">
      <x:c r="A21" s="115" t="str">
        <x:v>Güncelleme kuralı: her paket, render, upload, schedule veya publish işleminden sonra hem “İçerik Takibi” hem “Yayın Takvimi” güncellenir. Kanıt yoksa Published yazılmaz.</x:v>
      </x:c>
      <x:c r="B21" s="116"/>
      <x:c r="C21" s="116"/>
      <x:c r="D21" s="116"/>
      <x:c r="E21" s="116"/>
      <x:c r="F21" s="116"/>
      <x:c r="G21" s="116"/>
      <x:c r="H21" s="117"/>
    </x:row>
  </x:sheetData>
  <x:mergeCells>
    <x:mergeCell ref="A1:H2"/>
    <x:mergeCell ref="A3:H3"/>
    <x:mergeCell ref="A5:B5"/>
    <x:mergeCell ref="E5:F5"/>
    <x:mergeCell ref="A7:B7"/>
    <x:mergeCell ref="E7:F7"/>
    <x:mergeCell ref="A9:B9"/>
    <x:mergeCell ref="E9:F9"/>
    <x:mergeCell ref="A11:B11"/>
    <x:mergeCell ref="E11:F11"/>
    <x:mergeCell ref="A14:H14"/>
    <x:mergeCell ref="D15:H15"/>
    <x:mergeCell ref="D16:H16"/>
    <x:mergeCell ref="D17:H17"/>
    <x:mergeCell ref="D18:H18"/>
    <x:mergeCell ref="D19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5" hidden="0" customWidth="1"/>
    <x:col min="4" max="4" width="18" hidden="0" customWidth="1"/>
    <x:col min="5" max="5" width="14" hidden="0" customWidth="1"/>
    <x:col min="6" max="6" width="18" hidden="0" customWidth="1"/>
    <x:col min="7" max="7" width="28" hidden="0" customWidth="1"/>
    <x:col min="8" max="8" width="11" hidden="0" customWidth="1"/>
    <x:col min="9" max="9" width="11" hidden="0" customWidth="1"/>
    <x:col min="10" max="10" width="17" hidden="0" customWidth="1"/>
    <x:col min="11" max="11" width="27" hidden="0" customWidth="1"/>
    <x:col min="12" max="12" width="52" hidden="0" customWidth="1"/>
    <x:col min="13" max="13" width="47" hidden="0" customWidth="1"/>
    <x:col min="14" max="14" width="14" hidden="0" customWidth="1"/>
  </x:cols>
  <x:sheetData>
    <x:row r="1">
      <x:c r="A1" s="4" t="str">
        <x:v>VANISHED EARTH — İÇERİK TAKİBİ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8" t="str">
        <x:v>Ana bölüm sırası, üretim durumu ve Shorts özeti. Düzenlenebilir durum alanları açılır listedir; türetilen alanlar formülle hesaplanır.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34" customHeight="1">
      <x:c r="A4" s="20" t="str">
        <x:v>No</x:v>
      </x:c>
      <x:c r="B4" s="21" t="str">
        <x:v>Tür</x:v>
      </x:c>
      <x:c r="C4" s="21" t="str">
        <x:v>Bilimsel Ad</x:v>
      </x:c>
      <x:c r="D4" s="21" t="str">
        <x:v>Ana Video Durumu</x:v>
      </x:c>
      <x:c r="E4" s="21" t="str">
        <x:v>Paket Tarihi</x:v>
      </x:c>
      <x:c r="F4" s="21" t="str">
        <x:v>Yayın Tarihi</x:v>
      </x:c>
      <x:c r="G4" s="21" t="str">
        <x:v>Ana Video URL</x:v>
      </x:c>
      <x:c r="H4" s="21" t="str">
        <x:v>Short Planı</x:v>
      </x:c>
      <x:c r="I4" s="21" t="str">
        <x:v>URL'li Short</x:v>
      </x:c>
      <x:c r="J4" s="21" t="str">
        <x:v>Shorts Durumu</x:v>
      </x:c>
      <x:c r="K4" s="21" t="str">
        <x:v>Sıradaki İş</x:v>
      </x:c>
      <x:c r="L4" s="21" t="str">
        <x:v>Notlar</x:v>
      </x:c>
      <x:c r="M4" s="21" t="str">
        <x:v>Kaynak</x:v>
      </x:c>
      <x:c r="N4" s="22" t="str">
        <x:v>Son Güncelleme</x:v>
      </x:c>
    </x:row>
    <x:row r="5" ht="28" customHeight="1">
      <x:c r="A5" s="55" t="n">
        <x:v>1</x:v>
      </x:c>
      <x:c r="B5" s="37" t="str">
        <x:v>Dodo</x:v>
      </x:c>
      <x:c r="C5" s="46" t="str">
        <x:v>Raphus cucullatus</x:v>
      </x:c>
      <x:c r="D5" s="55" t="str">
        <x:v>Published</x:v>
      </x:c>
      <x:c r="E5" s="58" t="n">
        <x:v>46225</x:v>
      </x:c>
      <x:c r="F5" s="59" t="n">
        <x:v>46225.51458333333</x:v>
      </x:c>
      <x:c r="G5" s="60" t="str">
        <x:v>https://youtu.be/dQO8ZOUp2mk</x:v>
      </x:c>
      <x:c r="H5" s="55" t="n">
        <x:f>COUNTIFS('Yayın Takvimi'!$A$5:$A$80,A5,'Yayın Takvimi'!$C$5:$C$80,"Short")</x:f>
        <x:v>0</x:v>
      </x:c>
      <x:c r="I5" s="55" t="n">
        <x:f>COUNTIFS('Yayın Takvimi'!$A$5:$A$80,A5,'Yayın Takvimi'!$C$5:$C$80,"Short",'Yayın Takvimi'!$F$5:$F$80,"Published")+COUNTIFS('Yayın Takvimi'!$A$5:$A$80,A5,'Yayın Takvimi'!$C$5:$C$80,"Short",'Yayın Takvimi'!$F$5:$F$80,"Scheduled")</x:f>
        <x:v>0</x:v>
      </x:c>
      <x:c r="J5" s="55" t="str">
        <x:f>IF(H5=0,"Not Started",IF(COUNTIFS('Yayın Takvimi'!$A$5:$A$80,A5,'Yayın Takvimi'!$C$5:$C$80,"Short",'Yayın Takvimi'!$F$5:$F$80,"Published")=H5,"Published",IF(COUNTIFS('Yayın Takvimi'!$A$5:$A$80,A5,'Yayın Takvimi'!$C$5:$C$80,"Short",'Yayın Takvimi'!$F$5:$F$80,"Scheduled")&gt;0,"Scheduled",IF(COUNTIFS('Yayın Takvimi'!$A$5:$A$80,A5,'Yayın Takvimi'!$C$5:$C$80,"Short",'Yayın Takvimi'!$F$5:$F$80,"Made")&gt;0,"Made",IF(COUNTIFS('Yayın Takvimi'!$A$5:$A$80,A5,'Yayın Takvimi'!$C$5:$C$80,"Short",'Yayın Takvimi'!$F$5:$F$80,"Metadata Ready")&gt;0,"Metadata Ready","Planned")))))</x:f>
        <x:v>Not Started</x:v>
      </x:c>
      <x:c r="K5" s="52" t="str">
        <x:f>IF(AND(D5="Published",J5="Published"),"Tamamlandı",IF(AND(D5="Published",J5="Not Started"),"Short planı oluştur",IF(D5="Scheduled","Yayın durumunu doğrula",IF(D5="Package Ready","Görseller → ses → render",IF(D5="Planned","Araştırma ve paket hazırla",IF(J5="Made","Short'ları yükle ve planla",IF(J5="Metadata Ready","Short'ları render et","Durumu güncelle")))))))</x:f>
        <x:v>Short planı oluştur</x:v>
      </x:c>
      <x:c r="L5" s="52" t="str">
        <x:v>First production video; 11 images; API status checked 2026-07-28</x:v>
      </x:c>
      <x:c r="M5" s="52" t="str">
        <x:v>deliverables/channel-sources/content-tracker.md</x:v>
      </x:c>
      <x:c r="N5" s="38" t="n">
        <x:v>46233</x:v>
      </x:c>
    </x:row>
    <x:row r="6" ht="28" customHeight="1">
      <x:c r="A6" s="56" t="n">
        <x:v>2</x:v>
      </x:c>
      <x:c r="B6" s="40" t="str">
        <x:v>Tasmanian tiger</x:v>
      </x:c>
      <x:c r="C6" s="47" t="str">
        <x:v>Thylacinus cynocephalus</x:v>
      </x:c>
      <x:c r="D6" s="56" t="str">
        <x:v>Published</x:v>
      </x:c>
      <x:c r="E6" s="61"/>
      <x:c r="F6" s="62" t="n">
        <x:v>46226.833333333336</x:v>
      </x:c>
      <x:c r="G6" s="63" t="str">
        <x:v>https://youtu.be/ZrTH6l6w8hk</x:v>
      </x:c>
      <x:c r="H6" s="56" t="n">
        <x:f>COUNTIFS('Yayın Takvimi'!$A$5:$A$80,A6,'Yayın Takvimi'!$C$5:$C$80,"Short")</x:f>
        <x:v>3</x:v>
      </x:c>
      <x:c r="I6" s="56" t="n">
        <x:f>COUNTIFS('Yayın Takvimi'!$A$5:$A$80,A6,'Yayın Takvimi'!$C$5:$C$80,"Short",'Yayın Takvimi'!$F$5:$F$80,"Published")+COUNTIFS('Yayın Takvimi'!$A$5:$A$80,A6,'Yayın Takvimi'!$C$5:$C$80,"Short",'Yayın Takvimi'!$F$5:$F$80,"Scheduled")</x:f>
        <x:v>0</x:v>
      </x:c>
      <x:c r="J6" s="56" t="str">
        <x:f>IF(H6=0,"Not Started",IF(COUNTIFS('Yayın Takvimi'!$A$5:$A$80,A6,'Yayın Takvimi'!$C$5:$C$80,"Short",'Yayın Takvimi'!$F$5:$F$80,"Published")=H6,"Published",IF(COUNTIFS('Yayın Takvimi'!$A$5:$A$80,A6,'Yayın Takvimi'!$C$5:$C$80,"Short",'Yayın Takvimi'!$F$5:$F$80,"Scheduled")&gt;0,"Scheduled",IF(COUNTIFS('Yayın Takvimi'!$A$5:$A$80,A6,'Yayın Takvimi'!$C$5:$C$80,"Short",'Yayın Takvimi'!$F$5:$F$80,"Made")&gt;0,"Made",IF(COUNTIFS('Yayın Takvimi'!$A$5:$A$80,A6,'Yayın Takvimi'!$C$5:$C$80,"Short",'Yayın Takvimi'!$F$5:$F$80,"Metadata Ready")&gt;0,"Metadata Ready","Planned")))))</x:f>
        <x:v>Made</x:v>
      </x:c>
      <x:c r="K6" s="53" t="str">
        <x:f>IF(AND(D6="Published",J6="Published"),"Tamamlandı",IF(AND(D6="Published",J6="Not Started"),"Short planı oluştur",IF(D6="Scheduled","Yayın durumunu doğrula",IF(D6="Package Ready","Görseller → ses → render",IF(D6="Planned","Araştırma ve paket hazırla",IF(J6="Made","Short'ları yükle ve planla",IF(J6="Metadata Ready","Short'ları render et","Durumu güncelle")))))))</x:f>
        <x:v>Short'ları yükle ve planla</x:v>
      </x:c>
      <x:c r="L6" s="53" t="str">
        <x:v>Second production video; three rendered Short files documented, no upload URLs in repo</x:v>
      </x:c>
      <x:c r="M6" s="53" t="str">
        <x:v>deliverables/channel-sources/content-tracker.md</x:v>
      </x:c>
      <x:c r="N6" s="41" t="n">
        <x:v>46233</x:v>
      </x:c>
    </x:row>
    <x:row r="7" ht="28" customHeight="1">
      <x:c r="A7" s="56" t="n">
        <x:v>3</x:v>
      </x:c>
      <x:c r="B7" s="40" t="str">
        <x:v>Steller's sea cow</x:v>
      </x:c>
      <x:c r="C7" s="47" t="str">
        <x:v>Hydrodamalis gigas</x:v>
      </x:c>
      <x:c r="D7" s="56" t="str">
        <x:v>Published</x:v>
      </x:c>
      <x:c r="E7" s="61" t="n">
        <x:v>46227</x:v>
      </x:c>
      <x:c r="F7" s="62" t="n">
        <x:v>46227.833333333336</x:v>
      </x:c>
      <x:c r="G7" s="63" t="str">
        <x:v>https://youtu.be/GFAMfAAUqg0</x:v>
      </x:c>
      <x:c r="H7" s="56" t="n">
        <x:f>COUNTIFS('Yayın Takvimi'!$A$5:$A$80,A7,'Yayın Takvimi'!$C$5:$C$80,"Short")</x:f>
        <x:v>3</x:v>
      </x:c>
      <x:c r="I7" s="56" t="n">
        <x:f>COUNTIFS('Yayın Takvimi'!$A$5:$A$80,A7,'Yayın Takvimi'!$C$5:$C$80,"Short",'Yayın Takvimi'!$F$5:$F$80,"Published")+COUNTIFS('Yayın Takvimi'!$A$5:$A$80,A7,'Yayın Takvimi'!$C$5:$C$80,"Short",'Yayın Takvimi'!$F$5:$F$80,"Scheduled")</x:f>
        <x:v>0</x:v>
      </x:c>
      <x:c r="J7" s="56" t="str">
        <x:f>IF(H7=0,"Not Started",IF(COUNTIFS('Yayın Takvimi'!$A$5:$A$80,A7,'Yayın Takvimi'!$C$5:$C$80,"Short",'Yayın Takvimi'!$F$5:$F$80,"Published")=H7,"Published",IF(COUNTIFS('Yayın Takvimi'!$A$5:$A$80,A7,'Yayın Takvimi'!$C$5:$C$80,"Short",'Yayın Takvimi'!$F$5:$F$80,"Scheduled")&gt;0,"Scheduled",IF(COUNTIFS('Yayın Takvimi'!$A$5:$A$80,A7,'Yayın Takvimi'!$C$5:$C$80,"Short",'Yayın Takvimi'!$F$5:$F$80,"Made")&gt;0,"Made",IF(COUNTIFS('Yayın Takvimi'!$A$5:$A$80,A7,'Yayın Takvimi'!$C$5:$C$80,"Short",'Yayın Takvimi'!$F$5:$F$80,"Metadata Ready")&gt;0,"Metadata Ready","Planned")))))</x:f>
        <x:v>Made</x:v>
      </x:c>
      <x:c r="K7" s="53" t="str">
        <x:f>IF(AND(D7="Published",J7="Published"),"Tamamlandı",IF(AND(D7="Published",J7="Not Started"),"Short planı oluştur",IF(D7="Scheduled","Yayın durumunu doğrula",IF(D7="Package Ready","Görseller → ses → render",IF(D7="Planned","Araştırma ve paket hazırla",IF(J7="Made","Short'ları yükle ve planla",IF(J7="Metadata Ready","Short'ları render et","Durumu güncelle")))))))</x:f>
        <x:v>Short'ları yükle ve planla</x:v>
      </x:c>
      <x:c r="L7" s="53" t="str">
        <x:v>Third production video; three rendered Short files documented, no upload URLs in repo</x:v>
      </x:c>
      <x:c r="M7" s="53" t="str">
        <x:v>deliverables/channel-sources/content-tracker.md</x:v>
      </x:c>
      <x:c r="N7" s="41" t="n">
        <x:v>46233</x:v>
      </x:c>
    </x:row>
    <x:row r="8" ht="28" customHeight="1">
      <x:c r="A8" s="56" t="n">
        <x:v>4</x:v>
      </x:c>
      <x:c r="B8" s="40" t="str">
        <x:v>Passenger pigeon</x:v>
      </x:c>
      <x:c r="C8" s="47" t="str">
        <x:v>Ectopistes migratorius</x:v>
      </x:c>
      <x:c r="D8" s="56" t="str">
        <x:v>Published</x:v>
      </x:c>
      <x:c r="E8" s="61" t="n">
        <x:v>46228</x:v>
      </x:c>
      <x:c r="F8" s="62" t="n">
        <x:v>46228.833333333336</x:v>
      </x:c>
      <x:c r="G8" s="63" t="str">
        <x:v>https://youtu.be/Kqat15AYFvM</x:v>
      </x:c>
      <x:c r="H8" s="56" t="n">
        <x:f>COUNTIFS('Yayın Takvimi'!$A$5:$A$80,A8,'Yayın Takvimi'!$C$5:$C$80,"Short")</x:f>
        <x:v>3</x:v>
      </x:c>
      <x:c r="I8" s="56" t="n">
        <x:f>COUNTIFS('Yayın Takvimi'!$A$5:$A$80,A8,'Yayın Takvimi'!$C$5:$C$80,"Short",'Yayın Takvimi'!$F$5:$F$80,"Published")+COUNTIFS('Yayın Takvimi'!$A$5:$A$80,A8,'Yayın Takvimi'!$C$5:$C$80,"Short",'Yayın Takvimi'!$F$5:$F$80,"Scheduled")</x:f>
        <x:v>0</x:v>
      </x:c>
      <x:c r="J8" s="56" t="str">
        <x:f>IF(H8=0,"Not Started",IF(COUNTIFS('Yayın Takvimi'!$A$5:$A$80,A8,'Yayın Takvimi'!$C$5:$C$80,"Short",'Yayın Takvimi'!$F$5:$F$80,"Published")=H8,"Published",IF(COUNTIFS('Yayın Takvimi'!$A$5:$A$80,A8,'Yayın Takvimi'!$C$5:$C$80,"Short",'Yayın Takvimi'!$F$5:$F$80,"Scheduled")&gt;0,"Scheduled",IF(COUNTIFS('Yayın Takvimi'!$A$5:$A$80,A8,'Yayın Takvimi'!$C$5:$C$80,"Short",'Yayın Takvimi'!$F$5:$F$80,"Made")&gt;0,"Made",IF(COUNTIFS('Yayın Takvimi'!$A$5:$A$80,A8,'Yayın Takvimi'!$C$5:$C$80,"Short",'Yayın Takvimi'!$F$5:$F$80,"Metadata Ready")&gt;0,"Metadata Ready","Planned")))))</x:f>
        <x:v>Metadata Ready</x:v>
      </x:c>
      <x:c r="K8" s="53" t="str">
        <x:f>IF(AND(D8="Published",J8="Published"),"Tamamlandı",IF(AND(D8="Published",J8="Not Started"),"Short planı oluştur",IF(D8="Scheduled","Yayın durumunu doğrula",IF(D8="Package Ready","Görseller → ses → render",IF(D8="Planned","Araştırma ve paket hazırla",IF(J8="Made","Short'ları yükle ve planla",IF(J8="Metadata Ready","Short'ları render et","Durumu güncelle")))))))</x:f>
        <x:v>Short'ları render et</x:v>
      </x:c>
      <x:c r="L8" s="53" t="str">
        <x:v>Fourth production video; Short metadata drafted but files/URLs remain placeholders</x:v>
      </x:c>
      <x:c r="M8" s="53" t="str">
        <x:v>deliverables/channel-sources/content-tracker.md</x:v>
      </x:c>
      <x:c r="N8" s="41" t="n">
        <x:v>46233</x:v>
      </x:c>
    </x:row>
    <x:row r="9" ht="28" customHeight="1">
      <x:c r="A9" s="56" t="n">
        <x:v>5</x:v>
      </x:c>
      <x:c r="B9" s="40" t="str">
        <x:v>Carolina parakeet</x:v>
      </x:c>
      <x:c r="C9" s="47" t="str">
        <x:v>Conuropsis carolinensis</x:v>
      </x:c>
      <x:c r="D9" s="56" t="str">
        <x:v>Published</x:v>
      </x:c>
      <x:c r="E9" s="61" t="n">
        <x:v>46229</x:v>
      </x:c>
      <x:c r="F9" s="62" t="n">
        <x:v>46229.916666666664</x:v>
      </x:c>
      <x:c r="G9" s="63" t="str">
        <x:v>https://youtu.be/NYnu9_0EXis</x:v>
      </x:c>
      <x:c r="H9" s="56" t="n">
        <x:f>COUNTIFS('Yayın Takvimi'!$A$5:$A$80,A9,'Yayın Takvimi'!$C$5:$C$80,"Short")</x:f>
        <x:v>3</x:v>
      </x:c>
      <x:c r="I9" s="56" t="n">
        <x:f>COUNTIFS('Yayın Takvimi'!$A$5:$A$80,A9,'Yayın Takvimi'!$C$5:$C$80,"Short",'Yayın Takvimi'!$F$5:$F$80,"Published")+COUNTIFS('Yayın Takvimi'!$A$5:$A$80,A9,'Yayın Takvimi'!$C$5:$C$80,"Short",'Yayın Takvimi'!$F$5:$F$80,"Scheduled")</x:f>
        <x:v>3</x:v>
      </x:c>
      <x:c r="J9" s="56" t="str">
        <x:f>IF(H9=0,"Not Started",IF(COUNTIFS('Yayın Takvimi'!$A$5:$A$80,A9,'Yayın Takvimi'!$C$5:$C$80,"Short",'Yayın Takvimi'!$F$5:$F$80,"Published")=H9,"Published",IF(COUNTIFS('Yayın Takvimi'!$A$5:$A$80,A9,'Yayın Takvimi'!$C$5:$C$80,"Short",'Yayın Takvimi'!$F$5:$F$80,"Scheduled")&gt;0,"Scheduled",IF(COUNTIFS('Yayın Takvimi'!$A$5:$A$80,A9,'Yayın Takvimi'!$C$5:$C$80,"Short",'Yayın Takvimi'!$F$5:$F$80,"Made")&gt;0,"Made",IF(COUNTIFS('Yayın Takvimi'!$A$5:$A$80,A9,'Yayın Takvimi'!$C$5:$C$80,"Short",'Yayın Takvimi'!$F$5:$F$80,"Metadata Ready")&gt;0,"Metadata Ready","Planned")))))</x:f>
        <x:v>Published</x:v>
      </x:c>
      <x:c r="K9" s="53" t="str">
        <x:f>IF(AND(D9="Published",J9="Published"),"Tamamlandı",IF(AND(D9="Published",J9="Not Started"),"Short planı oluştur",IF(D9="Scheduled","Yayın durumunu doğrula",IF(D9="Package Ready","Görseller → ses → render",IF(D9="Planned","Araştırma ve paket hazırla",IF(J9="Made","Short'ları yükle ve planla",IF(J9="Metadata Ready","Short'ları render et","Durumu güncelle")))))))</x:f>
        <x:v>Tamamlandı</x:v>
      </x:c>
      <x:c r="L9" s="53" t="str">
        <x:v>Long video and three related Shorts published</x:v>
      </x:c>
      <x:c r="M9" s="53" t="str">
        <x:v>deliverables/carolina-parakeet/08-youtube-upload-schedule.md</x:v>
      </x:c>
      <x:c r="N9" s="41" t="n">
        <x:v>46233</x:v>
      </x:c>
    </x:row>
    <x:row r="10" ht="28" customHeight="1">
      <x:c r="A10" s="56" t="n">
        <x:v>6</x:v>
      </x:c>
      <x:c r="B10" s="40" t="str">
        <x:v>Pinta Island tortoise</x:v>
      </x:c>
      <x:c r="C10" s="47" t="str">
        <x:v>Chelonoidis abingdonii</x:v>
      </x:c>
      <x:c r="D10" s="56" t="str">
        <x:v>Scheduled</x:v>
      </x:c>
      <x:c r="E10" s="61" t="n">
        <x:v>46230</x:v>
      </x:c>
      <x:c r="F10" s="62" t="n">
        <x:v>46231.916666666664</x:v>
      </x:c>
      <x:c r="G10" s="63" t="str">
        <x:v>https://youtu.be/aDdnYy8JPkU</x:v>
      </x:c>
      <x:c r="H10" s="56" t="n">
        <x:f>COUNTIFS('Yayın Takvimi'!$A$5:$A$80,A10,'Yayın Takvimi'!$C$5:$C$80,"Short")</x:f>
        <x:v>3</x:v>
      </x:c>
      <x:c r="I10" s="56" t="n">
        <x:f>COUNTIFS('Yayın Takvimi'!$A$5:$A$80,A10,'Yayın Takvimi'!$C$5:$C$80,"Short",'Yayın Takvimi'!$F$5:$F$80,"Published")+COUNTIFS('Yayın Takvimi'!$A$5:$A$80,A10,'Yayın Takvimi'!$C$5:$C$80,"Short",'Yayın Takvimi'!$F$5:$F$80,"Scheduled")</x:f>
        <x:v>3</x:v>
      </x:c>
      <x:c r="J10" s="56" t="str">
        <x:f>IF(H10=0,"Not Started",IF(COUNTIFS('Yayın Takvimi'!$A$5:$A$80,A10,'Yayın Takvimi'!$C$5:$C$80,"Short",'Yayın Takvimi'!$F$5:$F$80,"Published")=H10,"Published",IF(COUNTIFS('Yayın Takvimi'!$A$5:$A$80,A10,'Yayın Takvimi'!$C$5:$C$80,"Short",'Yayın Takvimi'!$F$5:$F$80,"Scheduled")&gt;0,"Scheduled",IF(COUNTIFS('Yayın Takvimi'!$A$5:$A$80,A10,'Yayın Takvimi'!$C$5:$C$80,"Short",'Yayın Takvimi'!$F$5:$F$80,"Made")&gt;0,"Made",IF(COUNTIFS('Yayın Takvimi'!$A$5:$A$80,A10,'Yayın Takvimi'!$C$5:$C$80,"Short",'Yayın Takvimi'!$F$5:$F$80,"Metadata Ready")&gt;0,"Metadata Ready","Planned")))))</x:f>
        <x:v>Scheduled</x:v>
      </x:c>
      <x:c r="K10" s="53" t="str">
        <x:f>IF(AND(D10="Published",J10="Published"),"Tamamlandı",IF(AND(D10="Published",J10="Not Started"),"Short planı oluştur",IF(D10="Scheduled","Yayın durumunu doğrula",IF(D10="Package Ready","Görseller → ses → render",IF(D10="Planned","Araştırma ve paket hazırla",IF(J10="Made","Short'ları yükle ve planla",IF(J10="Metadata Ready","Short'ları render et","Durumu güncelle")))))))</x:f>
        <x:v>Yayın durumunu doğrula</x:v>
      </x:c>
      <x:c r="L10" s="53" t="str">
        <x:v>Schedule is in the past but repository status is still Scheduled; verify on YouTube</x:v>
      </x:c>
      <x:c r="M10" s="53" t="str">
        <x:v>deliverables/pinta-island-tortoise/08-youtube-upload-schedule.md</x:v>
      </x:c>
      <x:c r="N10" s="41" t="n">
        <x:v>46233</x:v>
      </x:c>
    </x:row>
    <x:row r="11" ht="28" customHeight="1">
      <x:c r="A11" s="56" t="n">
        <x:v>7</x:v>
      </x:c>
      <x:c r="B11" s="40" t="str">
        <x:v>Chinese paddlefish</x:v>
      </x:c>
      <x:c r="C11" s="47" t="str">
        <x:v>Psephurus gladius</x:v>
      </x:c>
      <x:c r="D11" s="56" t="str">
        <x:v>Scheduled</x:v>
      </x:c>
      <x:c r="E11" s="61" t="n">
        <x:v>46231</x:v>
      </x:c>
      <x:c r="F11" s="62" t="n">
        <x:v>46233.916666666664</x:v>
      </x:c>
      <x:c r="G11" s="63" t="str">
        <x:v>https://youtu.be/XMgmhfdL3MY</x:v>
      </x:c>
      <x:c r="H11" s="56" t="n">
        <x:f>COUNTIFS('Yayın Takvimi'!$A$5:$A$80,A11,'Yayın Takvimi'!$C$5:$C$80,"Short")</x:f>
        <x:v>3</x:v>
      </x:c>
      <x:c r="I11" s="56" t="n">
        <x:f>COUNTIFS('Yayın Takvimi'!$A$5:$A$80,A11,'Yayın Takvimi'!$C$5:$C$80,"Short",'Yayın Takvimi'!$F$5:$F$80,"Published")+COUNTIFS('Yayın Takvimi'!$A$5:$A$80,A11,'Yayın Takvimi'!$C$5:$C$80,"Short",'Yayın Takvimi'!$F$5:$F$80,"Scheduled")</x:f>
        <x:v>3</x:v>
      </x:c>
      <x:c r="J11" s="56" t="str">
        <x:f>IF(H11=0,"Not Started",IF(COUNTIFS('Yayın Takvimi'!$A$5:$A$80,A11,'Yayın Takvimi'!$C$5:$C$80,"Short",'Yayın Takvimi'!$F$5:$F$80,"Published")=H11,"Published",IF(COUNTIFS('Yayın Takvimi'!$A$5:$A$80,A11,'Yayın Takvimi'!$C$5:$C$80,"Short",'Yayın Takvimi'!$F$5:$F$80,"Scheduled")&gt;0,"Scheduled",IF(COUNTIFS('Yayın Takvimi'!$A$5:$A$80,A11,'Yayın Takvimi'!$C$5:$C$80,"Short",'Yayın Takvimi'!$F$5:$F$80,"Made")&gt;0,"Made",IF(COUNTIFS('Yayın Takvimi'!$A$5:$A$80,A11,'Yayın Takvimi'!$C$5:$C$80,"Short",'Yayın Takvimi'!$F$5:$F$80,"Metadata Ready")&gt;0,"Metadata Ready","Planned")))))</x:f>
        <x:v>Scheduled</x:v>
      </x:c>
      <x:c r="K11" s="53" t="str">
        <x:f>IF(AND(D11="Published",J11="Published"),"Tamamlandı",IF(AND(D11="Published",J11="Not Started"),"Short planı oluştur",IF(D11="Scheduled","Yayın durumunu doğrula",IF(D11="Package Ready","Görseller → ses → render",IF(D11="Planned","Araştırma ve paket hazırla",IF(J11="Made","Short'ları yükle ve planla",IF(J11="Metadata Ready","Short'ları render et","Durumu güncelle")))))))</x:f>
        <x:v>Yayın durumunu doğrula</x:v>
      </x:c>
      <x:c r="L11" s="53" t="str">
        <x:v>Long video and three Shorts uploaded and scheduled</x:v>
      </x:c>
      <x:c r="M11" s="53" t="str">
        <x:v>deliverables/chinese-paddlefish/08-youtube-upload-schedule.md</x:v>
      </x:c>
      <x:c r="N11" s="41" t="n">
        <x:v>46233</x:v>
      </x:c>
    </x:row>
    <x:row r="12" ht="28" customHeight="1">
      <x:c r="A12" s="56" t="n">
        <x:v>8</x:v>
      </x:c>
      <x:c r="B12" s="40" t="str">
        <x:v>Golden toad</x:v>
      </x:c>
      <x:c r="C12" s="47" t="str">
        <x:v>Incilius periglenes</x:v>
      </x:c>
      <x:c r="D12" s="56" t="str">
        <x:v>Package Ready</x:v>
      </x:c>
      <x:c r="E12" s="61" t="n">
        <x:v>46232</x:v>
      </x:c>
      <x:c r="F12" s="62" t="n">
        <x:v>46235.916666666664</x:v>
      </x:c>
      <x:c r="G12" s="63" t="str"/>
      <x:c r="H12" s="56" t="n">
        <x:f>COUNTIFS('Yayın Takvimi'!$A$5:$A$80,A12,'Yayın Takvimi'!$C$5:$C$80,"Short")</x:f>
        <x:v>3</x:v>
      </x:c>
      <x:c r="I12" s="56" t="n">
        <x:f>COUNTIFS('Yayın Takvimi'!$A$5:$A$80,A12,'Yayın Takvimi'!$C$5:$C$80,"Short",'Yayın Takvimi'!$F$5:$F$80,"Published")+COUNTIFS('Yayın Takvimi'!$A$5:$A$80,A12,'Yayın Takvimi'!$C$5:$C$80,"Short",'Yayın Takvimi'!$F$5:$F$80,"Scheduled")</x:f>
        <x:v>0</x:v>
      </x:c>
      <x:c r="J12" s="56" t="str">
        <x:f>IF(H12=0,"Not Started",IF(COUNTIFS('Yayın Takvimi'!$A$5:$A$80,A12,'Yayın Takvimi'!$C$5:$C$80,"Short",'Yayın Takvimi'!$F$5:$F$80,"Published")=H12,"Published",IF(COUNTIFS('Yayın Takvimi'!$A$5:$A$80,A12,'Yayın Takvimi'!$C$5:$C$80,"Short",'Yayın Takvimi'!$F$5:$F$80,"Scheduled")&gt;0,"Scheduled",IF(COUNTIFS('Yayın Takvimi'!$A$5:$A$80,A12,'Yayın Takvimi'!$C$5:$C$80,"Short",'Yayın Takvimi'!$F$5:$F$80,"Made")&gt;0,"Made",IF(COUNTIFS('Yayın Takvimi'!$A$5:$A$80,A12,'Yayın Takvimi'!$C$5:$C$80,"Short",'Yayın Takvimi'!$F$5:$F$80,"Metadata Ready")&gt;0,"Metadata Ready","Planned")))))</x:f>
        <x:v>Planned</x:v>
      </x:c>
      <x:c r="K12" s="53" t="str">
        <x:f>IF(AND(D12="Published",J12="Published"),"Tamamlandı",IF(AND(D12="Published",J12="Not Started"),"Short planı oluştur",IF(D12="Scheduled","Yayın durumunu doğrula",IF(D12="Package Ready","Görseller → ses → render",IF(D12="Planned","Araştırma ve paket hazırla",IF(J12="Made","Short'ları yükle ve planla",IF(J12="Metadata Ready","Short'ları render et","Durumu güncelle")))))))</x:f>
        <x:v>Görseller → ses → render</x:v>
      </x:c>
      <x:c r="L12" s="53" t="str">
        <x:v>Package ready; 11 images and three planned Shorts; not uploaded</x:v>
      </x:c>
      <x:c r="M12" s="53" t="str">
        <x:v>deliverables/golden-toad/08-youtube-upload-schedule.md</x:v>
      </x:c>
      <x:c r="N12" s="41" t="n">
        <x:v>46233</x:v>
      </x:c>
    </x:row>
    <x:row r="13" ht="28" customHeight="1">
      <x:c r="A13" s="56" t="n">
        <x:v>9</x:v>
      </x:c>
      <x:c r="B13" s="40" t="str">
        <x:v>Rocky Mountain locust</x:v>
      </x:c>
      <x:c r="C13" s="47" t="str">
        <x:v>Melanoplus spretus</x:v>
      </x:c>
      <x:c r="D13" s="56" t="str">
        <x:v>Planned</x:v>
      </x:c>
      <x:c r="E13" s="61"/>
      <x:c r="F13" s="62"/>
      <x:c r="G13" s="63" t="str"/>
      <x:c r="H13" s="56" t="n">
        <x:f>COUNTIFS('Yayın Takvimi'!$A$5:$A$80,A13,'Yayın Takvimi'!$C$5:$C$80,"Short")</x:f>
        <x:v>0</x:v>
      </x:c>
      <x:c r="I13" s="56" t="n">
        <x:f>COUNTIFS('Yayın Takvimi'!$A$5:$A$80,A13,'Yayın Takvimi'!$C$5:$C$80,"Short",'Yayın Takvimi'!$F$5:$F$80,"Published")+COUNTIFS('Yayın Takvimi'!$A$5:$A$80,A13,'Yayın Takvimi'!$C$5:$C$80,"Short",'Yayın Takvimi'!$F$5:$F$80,"Scheduled")</x:f>
        <x:v>0</x:v>
      </x:c>
      <x:c r="J13" s="56" t="str">
        <x:f>IF(H13=0,"Not Started",IF(COUNTIFS('Yayın Takvimi'!$A$5:$A$80,A13,'Yayın Takvimi'!$C$5:$C$80,"Short",'Yayın Takvimi'!$F$5:$F$80,"Published")=H13,"Published",IF(COUNTIFS('Yayın Takvimi'!$A$5:$A$80,A13,'Yayın Takvimi'!$C$5:$C$80,"Short",'Yayın Takvimi'!$F$5:$F$80,"Scheduled")&gt;0,"Scheduled",IF(COUNTIFS('Yayın Takvimi'!$A$5:$A$80,A13,'Yayın Takvimi'!$C$5:$C$80,"Short",'Yayın Takvimi'!$F$5:$F$80,"Made")&gt;0,"Made",IF(COUNTIFS('Yayın Takvimi'!$A$5:$A$80,A13,'Yayın Takvimi'!$C$5:$C$80,"Short",'Yayın Takvimi'!$F$5:$F$80,"Metadata Ready")&gt;0,"Metadata Ready","Planned")))))</x:f>
        <x:v>Not Started</x:v>
      </x:c>
      <x:c r="K13" s="53" t="str">
        <x:f>IF(AND(D13="Published",J13="Published"),"Tamamlandı",IF(AND(D13="Published",J13="Not Started"),"Short planı oluştur",IF(D13="Scheduled","Yayın durumunu doğrula",IF(D13="Package Ready","Görseller → ses → render",IF(D13="Planned","Araştırma ve paket hazırla",IF(J13="Made","Short'ları yükle ve planla",IF(J13="Metadata Ready","Short'ları render et","Durumu güncelle")))))))</x:f>
        <x:v>Araştırma ve paket hazırla</x:v>
      </x:c>
      <x:c r="L13" s="53" t="str">
        <x:v>Next main episode after Golden toad</x:v>
      </x:c>
      <x:c r="M13" s="53" t="str">
        <x:v>deliverables/channel-sources/content-tracker.md</x:v>
      </x:c>
      <x:c r="N13" s="41" t="n">
        <x:v>46233</x:v>
      </x:c>
    </x:row>
    <x:row r="14" ht="28" customHeight="1">
      <x:c r="A14" s="56" t="n">
        <x:v>10</x:v>
      </x:c>
      <x:c r="B14" s="40" t="str">
        <x:v>Xerces blue butterfly</x:v>
      </x:c>
      <x:c r="C14" s="47" t="str">
        <x:v>Glaucopsyche xerces</x:v>
      </x:c>
      <x:c r="D14" s="56" t="str">
        <x:v>Planned</x:v>
      </x:c>
      <x:c r="E14" s="61"/>
      <x:c r="F14" s="62"/>
      <x:c r="G14" s="63" t="str"/>
      <x:c r="H14" s="56" t="n">
        <x:f>COUNTIFS('Yayın Takvimi'!$A$5:$A$80,A14,'Yayın Takvimi'!$C$5:$C$80,"Short")</x:f>
        <x:v>0</x:v>
      </x:c>
      <x:c r="I14" s="56" t="n">
        <x:f>COUNTIFS('Yayın Takvimi'!$A$5:$A$80,A14,'Yayın Takvimi'!$C$5:$C$80,"Short",'Yayın Takvimi'!$F$5:$F$80,"Published")+COUNTIFS('Yayın Takvimi'!$A$5:$A$80,A14,'Yayın Takvimi'!$C$5:$C$80,"Short",'Yayın Takvimi'!$F$5:$F$80,"Scheduled")</x:f>
        <x:v>0</x:v>
      </x:c>
      <x:c r="J14" s="56" t="str">
        <x:f>IF(H14=0,"Not Started",IF(COUNTIFS('Yayın Takvimi'!$A$5:$A$80,A14,'Yayın Takvimi'!$C$5:$C$80,"Short",'Yayın Takvimi'!$F$5:$F$80,"Published")=H14,"Published",IF(COUNTIFS('Yayın Takvimi'!$A$5:$A$80,A14,'Yayın Takvimi'!$C$5:$C$80,"Short",'Yayın Takvimi'!$F$5:$F$80,"Scheduled")&gt;0,"Scheduled",IF(COUNTIFS('Yayın Takvimi'!$A$5:$A$80,A14,'Yayın Takvimi'!$C$5:$C$80,"Short",'Yayın Takvimi'!$F$5:$F$80,"Made")&gt;0,"Made",IF(COUNTIFS('Yayın Takvimi'!$A$5:$A$80,A14,'Yayın Takvimi'!$C$5:$C$80,"Short",'Yayın Takvimi'!$F$5:$F$80,"Metadata Ready")&gt;0,"Metadata Ready","Planned")))))</x:f>
        <x:v>Not Started</x:v>
      </x:c>
      <x:c r="K14" s="53" t="str">
        <x:f>IF(AND(D14="Published",J14="Published"),"Tamamlandı",IF(AND(D14="Published",J14="Not Started"),"Short planı oluştur",IF(D14="Scheduled","Yayın durumunu doğrula",IF(D14="Package Ready","Görseller → ses → render",IF(D14="Planned","Araştırma ve paket hazırla",IF(J14="Made","Short'ları yükle ve planla",IF(J14="Metadata Ready","Short'ları render et","Durumu güncelle")))))))</x:f>
        <x:v>Araştırma ve paket hazırla</x:v>
      </x:c>
      <x:c r="L14" s="53" t="str"/>
      <x:c r="M14" s="53" t="str">
        <x:v>deliverables/channel-sources/content-tracker.md</x:v>
      </x:c>
      <x:c r="N14" s="41" t="n">
        <x:v>46233</x:v>
      </x:c>
    </x:row>
    <x:row r="15" ht="28" customHeight="1">
      <x:c r="A15" s="56" t="n">
        <x:v>11</x:v>
      </x:c>
      <x:c r="B15" s="40" t="str">
        <x:v>Southern gastric-brooding frog</x:v>
      </x:c>
      <x:c r="C15" s="47" t="str">
        <x:v>Rheobatrachus silus</x:v>
      </x:c>
      <x:c r="D15" s="56" t="str">
        <x:v>Planned</x:v>
      </x:c>
      <x:c r="E15" s="61"/>
      <x:c r="F15" s="62"/>
      <x:c r="G15" s="63" t="str"/>
      <x:c r="H15" s="56" t="n">
        <x:f>COUNTIFS('Yayın Takvimi'!$A$5:$A$80,A15,'Yayın Takvimi'!$C$5:$C$80,"Short")</x:f>
        <x:v>0</x:v>
      </x:c>
      <x:c r="I15" s="56" t="n">
        <x:f>COUNTIFS('Yayın Takvimi'!$A$5:$A$80,A15,'Yayın Takvimi'!$C$5:$C$80,"Short",'Yayın Takvimi'!$F$5:$F$80,"Published")+COUNTIFS('Yayın Takvimi'!$A$5:$A$80,A15,'Yayın Takvimi'!$C$5:$C$80,"Short",'Yayın Takvimi'!$F$5:$F$80,"Scheduled")</x:f>
        <x:v>0</x:v>
      </x:c>
      <x:c r="J15" s="56" t="str">
        <x:f>IF(H15=0,"Not Started",IF(COUNTIFS('Yayın Takvimi'!$A$5:$A$80,A15,'Yayın Takvimi'!$C$5:$C$80,"Short",'Yayın Takvimi'!$F$5:$F$80,"Published")=H15,"Published",IF(COUNTIFS('Yayın Takvimi'!$A$5:$A$80,A15,'Yayın Takvimi'!$C$5:$C$80,"Short",'Yayın Takvimi'!$F$5:$F$80,"Scheduled")&gt;0,"Scheduled",IF(COUNTIFS('Yayın Takvimi'!$A$5:$A$80,A15,'Yayın Takvimi'!$C$5:$C$80,"Short",'Yayın Takvimi'!$F$5:$F$80,"Made")&gt;0,"Made",IF(COUNTIFS('Yayın Takvimi'!$A$5:$A$80,A15,'Yayın Takvimi'!$C$5:$C$80,"Short",'Yayın Takvimi'!$F$5:$F$80,"Metadata Ready")&gt;0,"Metadata Ready","Planned")))))</x:f>
        <x:v>Not Started</x:v>
      </x:c>
      <x:c r="K15" s="53" t="str">
        <x:f>IF(AND(D15="Published",J15="Published"),"Tamamlandı",IF(AND(D15="Published",J15="Not Started"),"Short planı oluştur",IF(D15="Scheduled","Yayın durumunu doğrula",IF(D15="Package Ready","Görseller → ses → render",IF(D15="Planned","Araştırma ve paket hazırla",IF(J15="Made","Short'ları yükle ve planla",IF(J15="Metadata Ready","Short'ları render et","Durumu güncelle")))))))</x:f>
        <x:v>Araştırma ve paket hazırla</x:v>
      </x:c>
      <x:c r="L15" s="53" t="str"/>
      <x:c r="M15" s="53" t="str">
        <x:v>deliverables/channel-sources/content-tracker.md</x:v>
      </x:c>
      <x:c r="N15" s="41" t="n">
        <x:v>46233</x:v>
      </x:c>
    </x:row>
    <x:row r="16" ht="28" customHeight="1">
      <x:c r="A16" s="56" t="n">
        <x:v>12</x:v>
      </x:c>
      <x:c r="B16" s="40" t="str">
        <x:v>Bramble Cay melomys</x:v>
      </x:c>
      <x:c r="C16" s="47" t="str">
        <x:v>Melomys rubicola</x:v>
      </x:c>
      <x:c r="D16" s="56" t="str">
        <x:v>Planned</x:v>
      </x:c>
      <x:c r="E16" s="61"/>
      <x:c r="F16" s="62"/>
      <x:c r="G16" s="63" t="str"/>
      <x:c r="H16" s="56" t="n">
        <x:f>COUNTIFS('Yayın Takvimi'!$A$5:$A$80,A16,'Yayın Takvimi'!$C$5:$C$80,"Short")</x:f>
        <x:v>0</x:v>
      </x:c>
      <x:c r="I16" s="56" t="n">
        <x:f>COUNTIFS('Yayın Takvimi'!$A$5:$A$80,A16,'Yayın Takvimi'!$C$5:$C$80,"Short",'Yayın Takvimi'!$F$5:$F$80,"Published")+COUNTIFS('Yayın Takvimi'!$A$5:$A$80,A16,'Yayın Takvimi'!$C$5:$C$80,"Short",'Yayın Takvimi'!$F$5:$F$80,"Scheduled")</x:f>
        <x:v>0</x:v>
      </x:c>
      <x:c r="J16" s="56" t="str">
        <x:f>IF(H16=0,"Not Started",IF(COUNTIFS('Yayın Takvimi'!$A$5:$A$80,A16,'Yayın Takvimi'!$C$5:$C$80,"Short",'Yayın Takvimi'!$F$5:$F$80,"Published")=H16,"Published",IF(COUNTIFS('Yayın Takvimi'!$A$5:$A$80,A16,'Yayın Takvimi'!$C$5:$C$80,"Short",'Yayın Takvimi'!$F$5:$F$80,"Scheduled")&gt;0,"Scheduled",IF(COUNTIFS('Yayın Takvimi'!$A$5:$A$80,A16,'Yayın Takvimi'!$C$5:$C$80,"Short",'Yayın Takvimi'!$F$5:$F$80,"Made")&gt;0,"Made",IF(COUNTIFS('Yayın Takvimi'!$A$5:$A$80,A16,'Yayın Takvimi'!$C$5:$C$80,"Short",'Yayın Takvimi'!$F$5:$F$80,"Metadata Ready")&gt;0,"Metadata Ready","Planned")))))</x:f>
        <x:v>Not Started</x:v>
      </x:c>
      <x:c r="K16" s="53" t="str">
        <x:f>IF(AND(D16="Published",J16="Published"),"Tamamlandı",IF(AND(D16="Published",J16="Not Started"),"Short planı oluştur",IF(D16="Scheduled","Yayın durumunu doğrula",IF(D16="Package Ready","Görseller → ses → render",IF(D16="Planned","Araştırma ve paket hazırla",IF(J16="Made","Short'ları yükle ve planla",IF(J16="Metadata Ready","Short'ları render et","Durumu güncelle")))))))</x:f>
        <x:v>Araştırma ve paket hazırla</x:v>
      </x:c>
      <x:c r="L16" s="53" t="str"/>
      <x:c r="M16" s="53" t="str">
        <x:v>deliverables/channel-sources/content-tracker.md</x:v>
      </x:c>
      <x:c r="N16" s="41" t="n">
        <x:v>46233</x:v>
      </x:c>
    </x:row>
    <x:row r="17" ht="28" customHeight="1">
      <x:c r="A17" s="56" t="n">
        <x:v>13</x:v>
      </x:c>
      <x:c r="B17" s="40" t="str">
        <x:v>Sea mink</x:v>
      </x:c>
      <x:c r="C17" s="47" t="str">
        <x:v>Neovison macrodon</x:v>
      </x:c>
      <x:c r="D17" s="56" t="str">
        <x:v>Planned</x:v>
      </x:c>
      <x:c r="E17" s="61"/>
      <x:c r="F17" s="62"/>
      <x:c r="G17" s="63" t="str"/>
      <x:c r="H17" s="56" t="n">
        <x:f>COUNTIFS('Yayın Takvimi'!$A$5:$A$80,A17,'Yayın Takvimi'!$C$5:$C$80,"Short")</x:f>
        <x:v>0</x:v>
      </x:c>
      <x:c r="I17" s="56" t="n">
        <x:f>COUNTIFS('Yayın Takvimi'!$A$5:$A$80,A17,'Yayın Takvimi'!$C$5:$C$80,"Short",'Yayın Takvimi'!$F$5:$F$80,"Published")+COUNTIFS('Yayın Takvimi'!$A$5:$A$80,A17,'Yayın Takvimi'!$C$5:$C$80,"Short",'Yayın Takvimi'!$F$5:$F$80,"Scheduled")</x:f>
        <x:v>0</x:v>
      </x:c>
      <x:c r="J17" s="56" t="str">
        <x:f>IF(H17=0,"Not Started",IF(COUNTIFS('Yayın Takvimi'!$A$5:$A$80,A17,'Yayın Takvimi'!$C$5:$C$80,"Short",'Yayın Takvimi'!$F$5:$F$80,"Published")=H17,"Published",IF(COUNTIFS('Yayın Takvimi'!$A$5:$A$80,A17,'Yayın Takvimi'!$C$5:$C$80,"Short",'Yayın Takvimi'!$F$5:$F$80,"Scheduled")&gt;0,"Scheduled",IF(COUNTIFS('Yayın Takvimi'!$A$5:$A$80,A17,'Yayın Takvimi'!$C$5:$C$80,"Short",'Yayın Takvimi'!$F$5:$F$80,"Made")&gt;0,"Made",IF(COUNTIFS('Yayın Takvimi'!$A$5:$A$80,A17,'Yayın Takvimi'!$C$5:$C$80,"Short",'Yayın Takvimi'!$F$5:$F$80,"Metadata Ready")&gt;0,"Metadata Ready","Planned")))))</x:f>
        <x:v>Not Started</x:v>
      </x:c>
      <x:c r="K17" s="53" t="str">
        <x:f>IF(AND(D17="Published",J17="Published"),"Tamamlandı",IF(AND(D17="Published",J17="Not Started"),"Short planı oluştur",IF(D17="Scheduled","Yayın durumunu doğrula",IF(D17="Package Ready","Görseller → ses → render",IF(D17="Planned","Araştırma ve paket hazırla",IF(J17="Made","Short'ları yükle ve planla",IF(J17="Metadata Ready","Short'ları render et","Durumu güncelle")))))))</x:f>
        <x:v>Araştırma ve paket hazırla</x:v>
      </x:c>
      <x:c r="L17" s="53" t="str"/>
      <x:c r="M17" s="53" t="str">
        <x:v>deliverables/channel-sources/content-tracker.md</x:v>
      </x:c>
      <x:c r="N17" s="41" t="n">
        <x:v>46233</x:v>
      </x:c>
    </x:row>
    <x:row r="18" ht="28" customHeight="1">
      <x:c r="A18" s="56" t="n">
        <x:v>14</x:v>
      </x:c>
      <x:c r="B18" s="40" t="str">
        <x:v>Labrador duck</x:v>
      </x:c>
      <x:c r="C18" s="47" t="str">
        <x:v>Camptorhynchus labradorius</x:v>
      </x:c>
      <x:c r="D18" s="56" t="str">
        <x:v>Planned</x:v>
      </x:c>
      <x:c r="E18" s="61"/>
      <x:c r="F18" s="62"/>
      <x:c r="G18" s="63" t="str"/>
      <x:c r="H18" s="56" t="n">
        <x:f>COUNTIFS('Yayın Takvimi'!$A$5:$A$80,A18,'Yayın Takvimi'!$C$5:$C$80,"Short")</x:f>
        <x:v>0</x:v>
      </x:c>
      <x:c r="I18" s="56" t="n">
        <x:f>COUNTIFS('Yayın Takvimi'!$A$5:$A$80,A18,'Yayın Takvimi'!$C$5:$C$80,"Short",'Yayın Takvimi'!$F$5:$F$80,"Published")+COUNTIFS('Yayın Takvimi'!$A$5:$A$80,A18,'Yayın Takvimi'!$C$5:$C$80,"Short",'Yayın Takvimi'!$F$5:$F$80,"Scheduled")</x:f>
        <x:v>0</x:v>
      </x:c>
      <x:c r="J18" s="56" t="str">
        <x:f>IF(H18=0,"Not Started",IF(COUNTIFS('Yayın Takvimi'!$A$5:$A$80,A18,'Yayın Takvimi'!$C$5:$C$80,"Short",'Yayın Takvimi'!$F$5:$F$80,"Published")=H18,"Published",IF(COUNTIFS('Yayın Takvimi'!$A$5:$A$80,A18,'Yayın Takvimi'!$C$5:$C$80,"Short",'Yayın Takvimi'!$F$5:$F$80,"Scheduled")&gt;0,"Scheduled",IF(COUNTIFS('Yayın Takvimi'!$A$5:$A$80,A18,'Yayın Takvimi'!$C$5:$C$80,"Short",'Yayın Takvimi'!$F$5:$F$80,"Made")&gt;0,"Made",IF(COUNTIFS('Yayın Takvimi'!$A$5:$A$80,A18,'Yayın Takvimi'!$C$5:$C$80,"Short",'Yayın Takvimi'!$F$5:$F$80,"Metadata Ready")&gt;0,"Metadata Ready","Planned")))))</x:f>
        <x:v>Not Started</x:v>
      </x:c>
      <x:c r="K18" s="53" t="str">
        <x:f>IF(AND(D18="Published",J18="Published"),"Tamamlandı",IF(AND(D18="Published",J18="Not Started"),"Short planı oluştur",IF(D18="Scheduled","Yayın durumunu doğrula",IF(D18="Package Ready","Görseller → ses → render",IF(D18="Planned","Araştırma ve paket hazırla",IF(J18="Made","Short'ları yükle ve planla",IF(J18="Metadata Ready","Short'ları render et","Durumu güncelle")))))))</x:f>
        <x:v>Araştırma ve paket hazırla</x:v>
      </x:c>
      <x:c r="L18" s="53" t="str"/>
      <x:c r="M18" s="53" t="str">
        <x:v>deliverables/channel-sources/content-tracker.md</x:v>
      </x:c>
      <x:c r="N18" s="41" t="n">
        <x:v>46233</x:v>
      </x:c>
    </x:row>
    <x:row r="19" ht="28" customHeight="1">
      <x:c r="A19" s="56" t="n">
        <x:v>15</x:v>
      </x:c>
      <x:c r="B19" s="40" t="str">
        <x:v>Stephens Island wren</x:v>
      </x:c>
      <x:c r="C19" s="47" t="str">
        <x:v>Traversia lyalli</x:v>
      </x:c>
      <x:c r="D19" s="56" t="str">
        <x:v>Planned</x:v>
      </x:c>
      <x:c r="E19" s="61"/>
      <x:c r="F19" s="62"/>
      <x:c r="G19" s="63" t="str"/>
      <x:c r="H19" s="56" t="n">
        <x:f>COUNTIFS('Yayın Takvimi'!$A$5:$A$80,A19,'Yayın Takvimi'!$C$5:$C$80,"Short")</x:f>
        <x:v>0</x:v>
      </x:c>
      <x:c r="I19" s="56" t="n">
        <x:f>COUNTIFS('Yayın Takvimi'!$A$5:$A$80,A19,'Yayın Takvimi'!$C$5:$C$80,"Short",'Yayın Takvimi'!$F$5:$F$80,"Published")+COUNTIFS('Yayın Takvimi'!$A$5:$A$80,A19,'Yayın Takvimi'!$C$5:$C$80,"Short",'Yayın Takvimi'!$F$5:$F$80,"Scheduled")</x:f>
        <x:v>0</x:v>
      </x:c>
      <x:c r="J19" s="56" t="str">
        <x:f>IF(H19=0,"Not Started",IF(COUNTIFS('Yayın Takvimi'!$A$5:$A$80,A19,'Yayın Takvimi'!$C$5:$C$80,"Short",'Yayın Takvimi'!$F$5:$F$80,"Published")=H19,"Published",IF(COUNTIFS('Yayın Takvimi'!$A$5:$A$80,A19,'Yayın Takvimi'!$C$5:$C$80,"Short",'Yayın Takvimi'!$F$5:$F$80,"Scheduled")&gt;0,"Scheduled",IF(COUNTIFS('Yayın Takvimi'!$A$5:$A$80,A19,'Yayın Takvimi'!$C$5:$C$80,"Short",'Yayın Takvimi'!$F$5:$F$80,"Made")&gt;0,"Made",IF(COUNTIFS('Yayın Takvimi'!$A$5:$A$80,A19,'Yayın Takvimi'!$C$5:$C$80,"Short",'Yayın Takvimi'!$F$5:$F$80,"Metadata Ready")&gt;0,"Metadata Ready","Planned")))))</x:f>
        <x:v>Not Started</x:v>
      </x:c>
      <x:c r="K19" s="53" t="str">
        <x:f>IF(AND(D19="Published",J19="Published"),"Tamamlandı",IF(AND(D19="Published",J19="Not Started"),"Short planı oluştur",IF(D19="Scheduled","Yayın durumunu doğrula",IF(D19="Package Ready","Görseller → ses → render",IF(D19="Planned","Araştırma ve paket hazırla",IF(J19="Made","Short'ları yükle ve planla",IF(J19="Metadata Ready","Short'ları render et","Durumu güncelle")))))))</x:f>
        <x:v>Araştırma ve paket hazırla</x:v>
      </x:c>
      <x:c r="L19" s="53" t="str"/>
      <x:c r="M19" s="53" t="str">
        <x:v>deliverables/channel-sources/content-tracker.md</x:v>
      </x:c>
      <x:c r="N19" s="41" t="n">
        <x:v>46233</x:v>
      </x:c>
    </x:row>
    <x:row r="20" ht="28" customHeight="1">
      <x:c r="A20" s="56" t="n">
        <x:v>16</x:v>
      </x:c>
      <x:c r="B20" s="40" t="str">
        <x:v>Alaotra grebe</x:v>
      </x:c>
      <x:c r="C20" s="47" t="str">
        <x:v>Tachybaptus rufolavatus</x:v>
      </x:c>
      <x:c r="D20" s="56" t="str">
        <x:v>Planned</x:v>
      </x:c>
      <x:c r="E20" s="61"/>
      <x:c r="F20" s="62"/>
      <x:c r="G20" s="63" t="str"/>
      <x:c r="H20" s="56" t="n">
        <x:f>COUNTIFS('Yayın Takvimi'!$A$5:$A$80,A20,'Yayın Takvimi'!$C$5:$C$80,"Short")</x:f>
        <x:v>0</x:v>
      </x:c>
      <x:c r="I20" s="56" t="n">
        <x:f>COUNTIFS('Yayın Takvimi'!$A$5:$A$80,A20,'Yayın Takvimi'!$C$5:$C$80,"Short",'Yayın Takvimi'!$F$5:$F$80,"Published")+COUNTIFS('Yayın Takvimi'!$A$5:$A$80,A20,'Yayın Takvimi'!$C$5:$C$80,"Short",'Yayın Takvimi'!$F$5:$F$80,"Scheduled")</x:f>
        <x:v>0</x:v>
      </x:c>
      <x:c r="J20" s="56" t="str">
        <x:f>IF(H20=0,"Not Started",IF(COUNTIFS('Yayın Takvimi'!$A$5:$A$80,A20,'Yayın Takvimi'!$C$5:$C$80,"Short",'Yayın Takvimi'!$F$5:$F$80,"Published")=H20,"Published",IF(COUNTIFS('Yayın Takvimi'!$A$5:$A$80,A20,'Yayın Takvimi'!$C$5:$C$80,"Short",'Yayın Takvimi'!$F$5:$F$80,"Scheduled")&gt;0,"Scheduled",IF(COUNTIFS('Yayın Takvimi'!$A$5:$A$80,A20,'Yayın Takvimi'!$C$5:$C$80,"Short",'Yayın Takvimi'!$F$5:$F$80,"Made")&gt;0,"Made",IF(COUNTIFS('Yayın Takvimi'!$A$5:$A$80,A20,'Yayın Takvimi'!$C$5:$C$80,"Short",'Yayın Takvimi'!$F$5:$F$80,"Metadata Ready")&gt;0,"Metadata Ready","Planned")))))</x:f>
        <x:v>Not Started</x:v>
      </x:c>
      <x:c r="K20" s="53" t="str">
        <x:f>IF(AND(D20="Published",J20="Published"),"Tamamlandı",IF(AND(D20="Published",J20="Not Started"),"Short planı oluştur",IF(D20="Scheduled","Yayın durumunu doğrula",IF(D20="Package Ready","Görseller → ses → render",IF(D20="Planned","Araştırma ve paket hazırla",IF(J20="Made","Short'ları yükle ve planla",IF(J20="Metadata Ready","Short'ları render et","Durumu güncelle")))))))</x:f>
        <x:v>Araştırma ve paket hazırla</x:v>
      </x:c>
      <x:c r="L20" s="53" t="str"/>
      <x:c r="M20" s="53" t="str">
        <x:v>deliverables/channel-sources/content-tracker.md</x:v>
      </x:c>
      <x:c r="N20" s="41" t="n">
        <x:v>46233</x:v>
      </x:c>
    </x:row>
    <x:row r="21" ht="28" customHeight="1">
      <x:c r="A21" s="56" t="n">
        <x:v>17</x:v>
      </x:c>
      <x:c r="B21" s="40" t="str">
        <x:v>Atitlán grebe</x:v>
      </x:c>
      <x:c r="C21" s="47" t="str">
        <x:v>Podilymbus gigas</x:v>
      </x:c>
      <x:c r="D21" s="56" t="str">
        <x:v>Planned</x:v>
      </x:c>
      <x:c r="E21" s="61"/>
      <x:c r="F21" s="62"/>
      <x:c r="G21" s="63" t="str"/>
      <x:c r="H21" s="56" t="n">
        <x:f>COUNTIFS('Yayın Takvimi'!$A$5:$A$80,A21,'Yayın Takvimi'!$C$5:$C$80,"Short")</x:f>
        <x:v>0</x:v>
      </x:c>
      <x:c r="I21" s="56" t="n">
        <x:f>COUNTIFS('Yayın Takvimi'!$A$5:$A$80,A21,'Yayın Takvimi'!$C$5:$C$80,"Short",'Yayın Takvimi'!$F$5:$F$80,"Published")+COUNTIFS('Yayın Takvimi'!$A$5:$A$80,A21,'Yayın Takvimi'!$C$5:$C$80,"Short",'Yayın Takvimi'!$F$5:$F$80,"Scheduled")</x:f>
        <x:v>0</x:v>
      </x:c>
      <x:c r="J21" s="56" t="str">
        <x:f>IF(H21=0,"Not Started",IF(COUNTIFS('Yayın Takvimi'!$A$5:$A$80,A21,'Yayın Takvimi'!$C$5:$C$80,"Short",'Yayın Takvimi'!$F$5:$F$80,"Published")=H21,"Published",IF(COUNTIFS('Yayın Takvimi'!$A$5:$A$80,A21,'Yayın Takvimi'!$C$5:$C$80,"Short",'Yayın Takvimi'!$F$5:$F$80,"Scheduled")&gt;0,"Scheduled",IF(COUNTIFS('Yayın Takvimi'!$A$5:$A$80,A21,'Yayın Takvimi'!$C$5:$C$80,"Short",'Yayın Takvimi'!$F$5:$F$80,"Made")&gt;0,"Made",IF(COUNTIFS('Yayın Takvimi'!$A$5:$A$80,A21,'Yayın Takvimi'!$C$5:$C$80,"Short",'Yayın Takvimi'!$F$5:$F$80,"Metadata Ready")&gt;0,"Metadata Ready","Planned")))))</x:f>
        <x:v>Not Started</x:v>
      </x:c>
      <x:c r="K21" s="53" t="str">
        <x:f>IF(AND(D21="Published",J21="Published"),"Tamamlandı",IF(AND(D21="Published",J21="Not Started"),"Short planı oluştur",IF(D21="Scheduled","Yayın durumunu doğrula",IF(D21="Package Ready","Görseller → ses → render",IF(D21="Planned","Araştırma ve paket hazırla",IF(J21="Made","Short'ları yükle ve planla",IF(J21="Metadata Ready","Short'ları render et","Durumu güncelle")))))))</x:f>
        <x:v>Araştırma ve paket hazırla</x:v>
      </x:c>
      <x:c r="L21" s="53" t="str"/>
      <x:c r="M21" s="53" t="str">
        <x:v>deliverables/channel-sources/content-tracker.md</x:v>
      </x:c>
      <x:c r="N21" s="41" t="n">
        <x:v>46233</x:v>
      </x:c>
    </x:row>
    <x:row r="22" ht="28" customHeight="1">
      <x:c r="A22" s="56" t="n">
        <x:v>18</x:v>
      </x:c>
      <x:c r="B22" s="40" t="str">
        <x:v>Cape Verde giant skink</x:v>
      </x:c>
      <x:c r="C22" s="47" t="str">
        <x:v>Chioninia coctei</x:v>
      </x:c>
      <x:c r="D22" s="56" t="str">
        <x:v>Planned</x:v>
      </x:c>
      <x:c r="E22" s="61"/>
      <x:c r="F22" s="62"/>
      <x:c r="G22" s="63" t="str"/>
      <x:c r="H22" s="56" t="n">
        <x:f>COUNTIFS('Yayın Takvimi'!$A$5:$A$80,A22,'Yayın Takvimi'!$C$5:$C$80,"Short")</x:f>
        <x:v>0</x:v>
      </x:c>
      <x:c r="I22" s="56" t="n">
        <x:f>COUNTIFS('Yayın Takvimi'!$A$5:$A$80,A22,'Yayın Takvimi'!$C$5:$C$80,"Short",'Yayın Takvimi'!$F$5:$F$80,"Published")+COUNTIFS('Yayın Takvimi'!$A$5:$A$80,A22,'Yayın Takvimi'!$C$5:$C$80,"Short",'Yayın Takvimi'!$F$5:$F$80,"Scheduled")</x:f>
        <x:v>0</x:v>
      </x:c>
      <x:c r="J22" s="56" t="str">
        <x:f>IF(H22=0,"Not Started",IF(COUNTIFS('Yayın Takvimi'!$A$5:$A$80,A22,'Yayın Takvimi'!$C$5:$C$80,"Short",'Yayın Takvimi'!$F$5:$F$80,"Published")=H22,"Published",IF(COUNTIFS('Yayın Takvimi'!$A$5:$A$80,A22,'Yayın Takvimi'!$C$5:$C$80,"Short",'Yayın Takvimi'!$F$5:$F$80,"Scheduled")&gt;0,"Scheduled",IF(COUNTIFS('Yayın Takvimi'!$A$5:$A$80,A22,'Yayın Takvimi'!$C$5:$C$80,"Short",'Yayın Takvimi'!$F$5:$F$80,"Made")&gt;0,"Made",IF(COUNTIFS('Yayın Takvimi'!$A$5:$A$80,A22,'Yayın Takvimi'!$C$5:$C$80,"Short",'Yayın Takvimi'!$F$5:$F$80,"Metadata Ready")&gt;0,"Metadata Ready","Planned")))))</x:f>
        <x:v>Not Started</x:v>
      </x:c>
      <x:c r="K22" s="53" t="str">
        <x:f>IF(AND(D22="Published",J22="Published"),"Tamamlandı",IF(AND(D22="Published",J22="Not Started"),"Short planı oluştur",IF(D22="Scheduled","Yayın durumunu doğrula",IF(D22="Package Ready","Görseller → ses → render",IF(D22="Planned","Araştırma ve paket hazırla",IF(J22="Made","Short'ları yükle ve planla",IF(J22="Metadata Ready","Short'ları render et","Durumu güncelle")))))))</x:f>
        <x:v>Araştırma ve paket hazırla</x:v>
      </x:c>
      <x:c r="L22" s="53" t="str"/>
      <x:c r="M22" s="53" t="str">
        <x:v>deliverables/channel-sources/content-tracker.md</x:v>
      </x:c>
      <x:c r="N22" s="41" t="n">
        <x:v>46233</x:v>
      </x:c>
    </x:row>
    <x:row r="23" ht="28" customHeight="1">
      <x:c r="A23" s="56" t="n">
        <x:v>19</x:v>
      </x:c>
      <x:c r="B23" s="40" t="str">
        <x:v>Round Island burrowing boa</x:v>
      </x:c>
      <x:c r="C23" s="47" t="str">
        <x:v>Bolyeria multocarinata</x:v>
      </x:c>
      <x:c r="D23" s="56" t="str">
        <x:v>Planned</x:v>
      </x:c>
      <x:c r="E23" s="61"/>
      <x:c r="F23" s="62"/>
      <x:c r="G23" s="63" t="str"/>
      <x:c r="H23" s="56" t="n">
        <x:f>COUNTIFS('Yayın Takvimi'!$A$5:$A$80,A23,'Yayın Takvimi'!$C$5:$C$80,"Short")</x:f>
        <x:v>0</x:v>
      </x:c>
      <x:c r="I23" s="56" t="n">
        <x:f>COUNTIFS('Yayın Takvimi'!$A$5:$A$80,A23,'Yayın Takvimi'!$C$5:$C$80,"Short",'Yayın Takvimi'!$F$5:$F$80,"Published")+COUNTIFS('Yayın Takvimi'!$A$5:$A$80,A23,'Yayın Takvimi'!$C$5:$C$80,"Short",'Yayın Takvimi'!$F$5:$F$80,"Scheduled")</x:f>
        <x:v>0</x:v>
      </x:c>
      <x:c r="J23" s="56" t="str">
        <x:f>IF(H23=0,"Not Started",IF(COUNTIFS('Yayın Takvimi'!$A$5:$A$80,A23,'Yayın Takvimi'!$C$5:$C$80,"Short",'Yayın Takvimi'!$F$5:$F$80,"Published")=H23,"Published",IF(COUNTIFS('Yayın Takvimi'!$A$5:$A$80,A23,'Yayın Takvimi'!$C$5:$C$80,"Short",'Yayın Takvimi'!$F$5:$F$80,"Scheduled")&gt;0,"Scheduled",IF(COUNTIFS('Yayın Takvimi'!$A$5:$A$80,A23,'Yayın Takvimi'!$C$5:$C$80,"Short",'Yayın Takvimi'!$F$5:$F$80,"Made")&gt;0,"Made",IF(COUNTIFS('Yayın Takvimi'!$A$5:$A$80,A23,'Yayın Takvimi'!$C$5:$C$80,"Short",'Yayın Takvimi'!$F$5:$F$80,"Metadata Ready")&gt;0,"Metadata Ready","Planned")))))</x:f>
        <x:v>Not Started</x:v>
      </x:c>
      <x:c r="K23" s="53" t="str">
        <x:f>IF(AND(D23="Published",J23="Published"),"Tamamlandı",IF(AND(D23="Published",J23="Not Started"),"Short planı oluştur",IF(D23="Scheduled","Yayın durumunu doğrula",IF(D23="Package Ready","Görseller → ses → render",IF(D23="Planned","Araştırma ve paket hazırla",IF(J23="Made","Short'ları yükle ve planla",IF(J23="Metadata Ready","Short'ları render et","Durumu güncelle")))))))</x:f>
        <x:v>Araştırma ve paket hazırla</x:v>
      </x:c>
      <x:c r="L23" s="53" t="str"/>
      <x:c r="M23" s="53" t="str">
        <x:v>deliverables/channel-sources/content-tracker.md</x:v>
      </x:c>
      <x:c r="N23" s="41" t="n">
        <x:v>46233</x:v>
      </x:c>
    </x:row>
    <x:row r="24" ht="28" customHeight="1">
      <x:c r="A24" s="57" t="n">
        <x:v>20</x:v>
      </x:c>
      <x:c r="B24" s="43" t="str">
        <x:v>Delcourt's giant gecko</x:v>
      </x:c>
      <x:c r="C24" s="48" t="str">
        <x:v>Gigarcanum delcourti</x:v>
      </x:c>
      <x:c r="D24" s="57" t="str">
        <x:v>Planned</x:v>
      </x:c>
      <x:c r="E24" s="64"/>
      <x:c r="F24" s="65"/>
      <x:c r="G24" s="66" t="str"/>
      <x:c r="H24" s="57" t="n">
        <x:f>COUNTIFS('Yayın Takvimi'!$A$5:$A$80,A24,'Yayın Takvimi'!$C$5:$C$80,"Short")</x:f>
        <x:v>0</x:v>
      </x:c>
      <x:c r="I24" s="57" t="n">
        <x:f>COUNTIFS('Yayın Takvimi'!$A$5:$A$80,A24,'Yayın Takvimi'!$C$5:$C$80,"Short",'Yayın Takvimi'!$F$5:$F$80,"Published")+COUNTIFS('Yayın Takvimi'!$A$5:$A$80,A24,'Yayın Takvimi'!$C$5:$C$80,"Short",'Yayın Takvimi'!$F$5:$F$80,"Scheduled")</x:f>
        <x:v>0</x:v>
      </x:c>
      <x:c r="J24" s="57" t="str">
        <x:f>IF(H24=0,"Not Started",IF(COUNTIFS('Yayın Takvimi'!$A$5:$A$80,A24,'Yayın Takvimi'!$C$5:$C$80,"Short",'Yayın Takvimi'!$F$5:$F$80,"Published")=H24,"Published",IF(COUNTIFS('Yayın Takvimi'!$A$5:$A$80,A24,'Yayın Takvimi'!$C$5:$C$80,"Short",'Yayın Takvimi'!$F$5:$F$80,"Scheduled")&gt;0,"Scheduled",IF(COUNTIFS('Yayın Takvimi'!$A$5:$A$80,A24,'Yayın Takvimi'!$C$5:$C$80,"Short",'Yayın Takvimi'!$F$5:$F$80,"Made")&gt;0,"Made",IF(COUNTIFS('Yayın Takvimi'!$A$5:$A$80,A24,'Yayın Takvimi'!$C$5:$C$80,"Short",'Yayın Takvimi'!$F$5:$F$80,"Metadata Ready")&gt;0,"Metadata Ready","Planned")))))</x:f>
        <x:v>Not Started</x:v>
      </x:c>
      <x:c r="K24" s="54" t="str">
        <x:f>IF(AND(D24="Published",J24="Published"),"Tamamlandı",IF(AND(D24="Published",J24="Not Started"),"Short planı oluştur",IF(D24="Scheduled","Yayın durumunu doğrula",IF(D24="Package Ready","Görseller → ses → render",IF(D24="Planned","Araştırma ve paket hazırla",IF(J24="Made","Short'ları yükle ve planla",IF(J24="Metadata Ready","Short'ları render et","Durumu güncelle")))))))</x:f>
        <x:v>Araştırma ve paket hazırla</x:v>
      </x:c>
      <x:c r="L24" s="54" t="str"/>
      <x:c r="M24" s="54" t="str">
        <x:v>deliverables/channel-sources/content-tracker.md</x:v>
      </x:c>
      <x:c r="N24" s="44" t="n">
        <x:v>46233</x:v>
      </x:c>
    </x:row>
  </x:sheetData>
  <x:mergeCells>
    <x:mergeCell ref="A1:N2"/>
    <x:mergeCell ref="A3:N3"/>
  </x:mergeCells>
  <x:conditionalFormatting sqref="D5:D24">
    <x:cfRule type="containsText" dxfId="0" priority="1" operator="containsText" text="Published"/>
    <x:cfRule type="containsText" dxfId="1" priority="2" operator="containsText" text="Scheduled"/>
    <x:cfRule type="containsText" dxfId="2" priority="3" operator="containsText" text="Package Ready"/>
    <x:cfRule type="containsText" dxfId="3" priority="4" operator="containsText" text="Planned"/>
    <x:cfRule type="containsText" dxfId="4" priority="5" operator="containsText" text="Made"/>
    <x:cfRule type="containsText" dxfId="5" priority="6" operator="containsText" text="Metadata Ready"/>
  </x:conditionalFormatting>
  <x:conditionalFormatting sqref="J5:J24">
    <x:cfRule type="containsText" dxfId="6" priority="7" operator="containsText" text="Published"/>
    <x:cfRule type="containsText" dxfId="7" priority="8" operator="containsText" text="Scheduled"/>
    <x:cfRule type="containsText" dxfId="8" priority="9" operator="containsText" text="Package Ready"/>
    <x:cfRule type="containsText" dxfId="9" priority="10" operator="containsText" text="Planned"/>
    <x:cfRule type="containsText" dxfId="10" priority="11" operator="containsText" text="Made"/>
    <x:cfRule type="containsText" dxfId="11" priority="12" operator="containsText" text="Metadata Ready"/>
  </x:conditionalFormatting>
  <x:dataValidations count="1">
    <x:dataValidation type="list" sqref="D5:D24">
      <x:formula1>"Planned,Researching,Package Ready,Images Ready,Audio Ready,Rendering,Scheduled,Published,Revisit Candidate"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27f595e2704e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9" hidden="0" customWidth="1"/>
    <x:col min="4" max="4" width="42" hidden="0" customWidth="1"/>
    <x:col min="5" max="5" width="19" hidden="0" customWidth="1"/>
    <x:col min="6" max="6" width="17" hidden="0" customWidth="1"/>
    <x:col min="7" max="7" width="29" hidden="0" customWidth="1"/>
    <x:col min="8" max="8" width="11" hidden="0" customWidth="1"/>
    <x:col min="9" max="9" width="18" hidden="0" customWidth="1"/>
    <x:col min="10" max="10" width="35" hidden="0" customWidth="1"/>
    <x:col min="11" max="11" width="48" hidden="0" customWidth="1"/>
    <x:col min="12" max="12" width="18" hidden="0" customWidth="1"/>
  </x:cols>
  <x:sheetData>
    <x:row r="1">
      <x:c r="A1" s="4" t="str">
        <x:v>VANISHED EARTH — YAYIN TAKVİMİ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8" t="str">
        <x:v>Uzun videolar ve Shorts tek satırda izlenir. 'Takip Uyarısı' formülü, zamanı geçmiş ama hâlâ Scheduled kalan kayıtları işaretler.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34" customHeight="1">
      <x:c r="A4" s="20" t="str">
        <x:v>Bölüm No</x:v>
      </x:c>
      <x:c r="B4" s="21" t="str">
        <x:v>Tür</x:v>
      </x:c>
      <x:c r="C4" s="21" t="str">
        <x:v>Tip</x:v>
      </x:c>
      <x:c r="D4" s="21" t="str">
        <x:v>Başlık</x:v>
      </x:c>
      <x:c r="E4" s="21" t="str">
        <x:v>Planlanan Yayın</x:v>
      </x:c>
      <x:c r="F4" s="21" t="str">
        <x:v>Durum</x:v>
      </x:c>
      <x:c r="G4" s="21" t="str">
        <x:v>YouTube URL</x:v>
      </x:c>
      <x:c r="H4" s="21" t="str">
        <x:v>Bildirim</x:v>
      </x:c>
      <x:c r="I4" s="21" t="str">
        <x:v>Dosya / Hazırlık</x:v>
      </x:c>
      <x:c r="J4" s="21" t="str">
        <x:v>Not</x:v>
      </x:c>
      <x:c r="K4" s="21" t="str">
        <x:v>Kaynak</x:v>
      </x:c>
      <x:c r="L4" s="22" t="str">
        <x:v>Takip Uyarısı</x:v>
      </x:c>
    </x:row>
    <x:row r="5" ht="30" customHeight="1">
      <x:c r="A5" s="55" t="n">
        <x:v>1</x:v>
      </x:c>
      <x:c r="B5" s="37" t="str">
        <x:v>Dodo</x:v>
      </x:c>
      <x:c r="C5" s="55" t="str">
        <x:v>Long</x:v>
      </x:c>
      <x:c r="D5" s="52" t="str">
        <x:v>The Dodo: How an Island Bird Vanished</x:v>
      </x:c>
      <x:c r="E5" s="59" t="n">
        <x:v>46225.51458333333</x:v>
      </x:c>
      <x:c r="F5" s="55" t="str">
        <x:v>Published</x:v>
      </x:c>
      <x:c r="G5" s="49" t="str">
        <x:v>https://youtu.be/dQO8ZOUp2mk</x:v>
      </x:c>
      <x:c r="H5" s="55" t="str">
        <x:v>On</x:v>
      </x:c>
      <x:c r="I5" s="52" t="str">
        <x:v>Published</x:v>
      </x:c>
      <x:c r="J5" s="52" t="str">
        <x:v>No Shorts record in repository</x:v>
      </x:c>
      <x:c r="K5" s="52" t="str">
        <x:v>deliverables/channel-sources/content-tracker.md</x:v>
      </x:c>
      <x:c r="L5" s="37" t="str">
        <x:f>IF(AND(F5="Scheduled",E5&lt;NOW()),"Yayını doğrula","")</x:f>
      </x:c>
    </x:row>
    <x:row r="6" ht="30" customHeight="1">
      <x:c r="A6" s="56" t="n">
        <x:v>2</x:v>
      </x:c>
      <x:c r="B6" s="40" t="str">
        <x:v>Tasmanian tiger</x:v>
      </x:c>
      <x:c r="C6" s="56" t="str">
        <x:v>Long</x:v>
      </x:c>
      <x:c r="D6" s="53" t="str">
        <x:v>The Thylacine: Hunted, Filmed, and Gone</x:v>
      </x:c>
      <x:c r="E6" s="62" t="n">
        <x:v>46226.833333333336</x:v>
      </x:c>
      <x:c r="F6" s="56" t="str">
        <x:v>Published</x:v>
      </x:c>
      <x:c r="G6" s="50" t="str">
        <x:v>https://youtu.be/ZrTH6l6w8hk</x:v>
      </x:c>
      <x:c r="H6" s="56" t="str">
        <x:v>On</x:v>
      </x:c>
      <x:c r="I6" s="53" t="str">
        <x:v>Published</x:v>
      </x:c>
      <x:c r="J6" s="53" t="str"/>
      <x:c r="K6" s="53" t="str">
        <x:v>deliverables/channel-sources/content-tracker.md</x:v>
      </x:c>
      <x:c r="L6" s="40" t="str">
        <x:f>IF(AND(F6="Scheduled",E6&lt;NOW()),"Yayını doğrula","")</x:f>
      </x:c>
    </x:row>
    <x:row r="7" ht="30" customHeight="1">
      <x:c r="A7" s="56" t="n">
        <x:v>2</x:v>
      </x:c>
      <x:c r="B7" s="40" t="str">
        <x:v>Tasmanian tiger</x:v>
      </x:c>
      <x:c r="C7" s="56" t="str">
        <x:v>Short</x:v>
      </x:c>
      <x:c r="D7" s="53" t="str">
        <x:v>Protected 59 Days Too Late</x:v>
      </x:c>
      <x:c r="E7" s="62"/>
      <x:c r="F7" s="56" t="str">
        <x:v>Made</x:v>
      </x:c>
      <x:c r="G7" s="50" t="str"/>
      <x:c r="H7" s="56" t="str"/>
      <x:c r="I7" s="53" t="str">
        <x:v>Rendered file</x:v>
      </x:c>
      <x:c r="J7" s="53" t="str">
        <x:v>Recommended release order #1</x:v>
      </x:c>
      <x:c r="K7" s="53" t="str">
        <x:v>deliverables/thylacine/07-youtube-shorts-metadata.md</x:v>
      </x:c>
      <x:c r="L7" s="40" t="str">
        <x:f>IF(AND(F7="Scheduled",E7&lt;NOW()),"Yayını doğrula","")</x:f>
      </x:c>
    </x:row>
    <x:row r="8" ht="30" customHeight="1">
      <x:c r="A8" s="56" t="n">
        <x:v>2</x:v>
      </x:c>
      <x:c r="B8" s="40" t="str">
        <x:v>Tasmanian tiger</x:v>
      </x:c>
      <x:c r="C8" s="56" t="str">
        <x:v>Short</x:v>
      </x:c>
      <x:c r="D8" s="53" t="str">
        <x:v>The Bounty That Helped Erase the Thylacine</x:v>
      </x:c>
      <x:c r="E8" s="62"/>
      <x:c r="F8" s="56" t="str">
        <x:v>Made</x:v>
      </x:c>
      <x:c r="G8" s="50" t="str"/>
      <x:c r="H8" s="56" t="str"/>
      <x:c r="I8" s="53" t="str">
        <x:v>Rendered file</x:v>
      </x:c>
      <x:c r="J8" s="53" t="str">
        <x:v>Recommended release order #2</x:v>
      </x:c>
      <x:c r="K8" s="53" t="str">
        <x:v>deliverables/thylacine/07-youtube-shorts-metadata.md</x:v>
      </x:c>
      <x:c r="L8" s="40" t="str">
        <x:f>IF(AND(F8="Scheduled",E8&lt;NOW()),"Yayını doğrula","")</x:f>
      </x:c>
    </x:row>
    <x:row r="9" ht="30" customHeight="1">
      <x:c r="A9" s="56" t="n">
        <x:v>2</x:v>
      </x:c>
      <x:c r="B9" s="40" t="str">
        <x:v>Tasmanian tiger</x:v>
      </x:c>
      <x:c r="C9" s="56" t="str">
        <x:v>Short</x:v>
      </x:c>
      <x:c r="D9" s="53" t="str">
        <x:v>This Wasn't a Tiger at All</x:v>
      </x:c>
      <x:c r="E9" s="62"/>
      <x:c r="F9" s="56" t="str">
        <x:v>Made</x:v>
      </x:c>
      <x:c r="G9" s="50" t="str"/>
      <x:c r="H9" s="56" t="str"/>
      <x:c r="I9" s="53" t="str">
        <x:v>Rendered file</x:v>
      </x:c>
      <x:c r="J9" s="53" t="str">
        <x:v>Recommended release order #3</x:v>
      </x:c>
      <x:c r="K9" s="53" t="str">
        <x:v>deliverables/thylacine/07-youtube-shorts-metadata.md</x:v>
      </x:c>
      <x:c r="L9" s="40" t="str">
        <x:f>IF(AND(F9="Scheduled",E9&lt;NOW()),"Yayını doğrula","")</x:f>
      </x:c>
    </x:row>
    <x:row r="10" ht="30" customHeight="1">
      <x:c r="A10" s="56" t="n">
        <x:v>3</x:v>
      </x:c>
      <x:c r="B10" s="40" t="str">
        <x:v>Steller's sea cow</x:v>
      </x:c>
      <x:c r="C10" s="56" t="str">
        <x:v>Long</x:v>
      </x:c>
      <x:c r="D10" s="53" t="str">
        <x:v>Steller's Sea Cow: The Giant Lost in 27 Years</x:v>
      </x:c>
      <x:c r="E10" s="62" t="n">
        <x:v>46227.833333333336</x:v>
      </x:c>
      <x:c r="F10" s="56" t="str">
        <x:v>Published</x:v>
      </x:c>
      <x:c r="G10" s="50" t="str">
        <x:v>https://youtu.be/GFAMfAAUqg0</x:v>
      </x:c>
      <x:c r="H10" s="56" t="str">
        <x:v>On</x:v>
      </x:c>
      <x:c r="I10" s="53" t="str">
        <x:v>Published</x:v>
      </x:c>
      <x:c r="J10" s="53" t="str"/>
      <x:c r="K10" s="53" t="str">
        <x:v>deliverables/channel-sources/content-tracker.md</x:v>
      </x:c>
      <x:c r="L10" s="40" t="str">
        <x:f>IF(AND(F10="Scheduled",E10&lt;NOW()),"Yayını doğrula","")</x:f>
      </x:c>
    </x:row>
    <x:row r="11" ht="30" customHeight="1">
      <x:c r="A11" s="56" t="n">
        <x:v>3</x:v>
      </x:c>
      <x:c r="B11" s="40" t="str">
        <x:v>Steller's sea cow</x:v>
      </x:c>
      <x:c r="C11" s="56" t="str">
        <x:v>Short</x:v>
      </x:c>
      <x:c r="D11" s="53" t="str">
        <x:v>Gone in Just 27 Years</x:v>
      </x:c>
      <x:c r="E11" s="62"/>
      <x:c r="F11" s="56" t="str">
        <x:v>Made</x:v>
      </x:c>
      <x:c r="G11" s="50" t="str"/>
      <x:c r="H11" s="56" t="str"/>
      <x:c r="I11" s="53" t="str">
        <x:v>Rendered file</x:v>
      </x:c>
      <x:c r="J11" s="53" t="str">
        <x:v>Recommended release order #1</x:v>
      </x:c>
      <x:c r="K11" s="53" t="str">
        <x:v>deliverables/stellers-sea-cow/youtube-shorts-metadata.md</x:v>
      </x:c>
      <x:c r="L11" s="40" t="str">
        <x:f>IF(AND(F11="Scheduled",E11&lt;NOW()),"Yayını doğrula","")</x:f>
      </x:c>
    </x:row>
    <x:row r="12" ht="30" customHeight="1">
      <x:c r="A12" s="56" t="n">
        <x:v>3</x:v>
      </x:c>
      <x:c r="B12" s="40" t="str">
        <x:v>Steller's sea cow</x:v>
      </x:c>
      <x:c r="C12" s="56" t="str">
        <x:v>Short</x:v>
      </x:c>
      <x:c r="D12" s="53" t="str">
        <x:v>The Only Scientist Who Saw This Giant Alive</x:v>
      </x:c>
      <x:c r="E12" s="62"/>
      <x:c r="F12" s="56" t="str">
        <x:v>Made</x:v>
      </x:c>
      <x:c r="G12" s="50" t="str"/>
      <x:c r="H12" s="56" t="str"/>
      <x:c r="I12" s="53" t="str">
        <x:v>Rendered file</x:v>
      </x:c>
      <x:c r="J12" s="53" t="str">
        <x:v>Recommended release order #2</x:v>
      </x:c>
      <x:c r="K12" s="53" t="str">
        <x:v>deliverables/stellers-sea-cow/youtube-shorts-metadata.md</x:v>
      </x:c>
      <x:c r="L12" s="40" t="str">
        <x:f>IF(AND(F12="Scheduled",E12&lt;NOW()),"Yayını doğrula","")</x:f>
      </x:c>
    </x:row>
    <x:row r="13" ht="30" customHeight="1">
      <x:c r="A13" s="56" t="n">
        <x:v>3</x:v>
      </x:c>
      <x:c r="B13" s="40" t="str">
        <x:v>Steller's sea cow</x:v>
      </x:c>
      <x:c r="C13" s="56" t="str">
        <x:v>Short</x:v>
      </x:c>
      <x:c r="D13" s="53" t="str">
        <x:v>The Kelp Forest Lost Its Giant</x:v>
      </x:c>
      <x:c r="E13" s="62"/>
      <x:c r="F13" s="56" t="str">
        <x:v>Made</x:v>
      </x:c>
      <x:c r="G13" s="50" t="str"/>
      <x:c r="H13" s="56" t="str"/>
      <x:c r="I13" s="53" t="str">
        <x:v>Rendered file</x:v>
      </x:c>
      <x:c r="J13" s="53" t="str">
        <x:v>Recommended release order #3</x:v>
      </x:c>
      <x:c r="K13" s="53" t="str">
        <x:v>deliverables/stellers-sea-cow/youtube-shorts-metadata.md</x:v>
      </x:c>
      <x:c r="L13" s="40" t="str">
        <x:f>IF(AND(F13="Scheduled",E13&lt;NOW()),"Yayını doğrula","")</x:f>
      </x:c>
    </x:row>
    <x:row r="14" ht="30" customHeight="1">
      <x:c r="A14" s="56" t="n">
        <x:v>4</x:v>
      </x:c>
      <x:c r="B14" s="40" t="str">
        <x:v>Passenger pigeon</x:v>
      </x:c>
      <x:c r="C14" s="56" t="str">
        <x:v>Long</x:v>
      </x:c>
      <x:c r="D14" s="53" t="str">
        <x:v>The Passenger Pigeon: How Billions Became None</x:v>
      </x:c>
      <x:c r="E14" s="62" t="n">
        <x:v>46228.833333333336</x:v>
      </x:c>
      <x:c r="F14" s="56" t="str">
        <x:v>Published</x:v>
      </x:c>
      <x:c r="G14" s="50" t="str">
        <x:v>https://youtu.be/Kqat15AYFvM</x:v>
      </x:c>
      <x:c r="H14" s="56" t="str">
        <x:v>On</x:v>
      </x:c>
      <x:c r="I14" s="53" t="str">
        <x:v>Published</x:v>
      </x:c>
      <x:c r="J14" s="53" t="str"/>
      <x:c r="K14" s="53" t="str">
        <x:v>deliverables/channel-sources/content-tracker.md</x:v>
      </x:c>
      <x:c r="L14" s="40" t="str">
        <x:f>IF(AND(F14="Scheduled",E14&lt;NOW()),"Yayını doğrula","")</x:f>
      </x:c>
    </x:row>
    <x:row r="15" ht="30" customHeight="1">
      <x:c r="A15" s="56" t="n">
        <x:v>4</x:v>
      </x:c>
      <x:c r="B15" s="40" t="str">
        <x:v>Passenger pigeon</x:v>
      </x:c>
      <x:c r="C15" s="56" t="str">
        <x:v>Short</x:v>
      </x:c>
      <x:c r="D15" s="53" t="str">
        <x:v>Billions Ended With One Bird</x:v>
      </x:c>
      <x:c r="E15" s="62"/>
      <x:c r="F15" s="56" t="str">
        <x:v>Metadata Ready</x:v>
      </x:c>
      <x:c r="G15" s="50" t="str"/>
      <x:c r="H15" s="56" t="str"/>
      <x:c r="I15" s="53" t="str">
        <x:v>Metadata only</x:v>
      </x:c>
      <x:c r="J15" s="53" t="str">
        <x:v>File, length and URL are placeholders</x:v>
      </x:c>
      <x:c r="K15" s="53" t="str">
        <x:v>deliverables/passenger-pigeon/07-youtube-shorts-metadata.md</x:v>
      </x:c>
      <x:c r="L15" s="40" t="str">
        <x:f>IF(AND(F15="Scheduled",E15&lt;NOW()),"Yayını doğrula","")</x:f>
      </x:c>
    </x:row>
    <x:row r="16" ht="30" customHeight="1">
      <x:c r="A16" s="56" t="n">
        <x:v>4</x:v>
      </x:c>
      <x:c r="B16" s="40" t="str">
        <x:v>Passenger pigeon</x:v>
      </x:c>
      <x:c r="C16" s="56" t="str">
        <x:v>Short</x:v>
      </x:c>
      <x:c r="D16" s="53" t="str">
        <x:v>The Bird That Turned Day Into Night</x:v>
      </x:c>
      <x:c r="E16" s="62"/>
      <x:c r="F16" s="56" t="str">
        <x:v>Metadata Ready</x:v>
      </x:c>
      <x:c r="G16" s="50" t="str"/>
      <x:c r="H16" s="56" t="str"/>
      <x:c r="I16" s="53" t="str">
        <x:v>Metadata only</x:v>
      </x:c>
      <x:c r="J16" s="53" t="str">
        <x:v>File, length and URL are placeholders</x:v>
      </x:c>
      <x:c r="K16" s="53" t="str">
        <x:v>deliverables/passenger-pigeon/07-youtube-shorts-metadata.md</x:v>
      </x:c>
      <x:c r="L16" s="40" t="str">
        <x:f>IF(AND(F16="Scheduled",E16&lt;NOW()),"Yayını doğrula","")</x:f>
      </x:c>
    </x:row>
    <x:row r="17" ht="30" customHeight="1">
      <x:c r="A17" s="56" t="n">
        <x:v>4</x:v>
      </x:c>
      <x:c r="B17" s="40" t="str">
        <x:v>Passenger pigeon</x:v>
      </x:c>
      <x:c r="C17" s="56" t="str">
        <x:v>Short</x:v>
      </x:c>
      <x:c r="D17" s="53" t="str">
        <x:v>How Hunting Became an Industry</x:v>
      </x:c>
      <x:c r="E17" s="62"/>
      <x:c r="F17" s="56" t="str">
        <x:v>Metadata Ready</x:v>
      </x:c>
      <x:c r="G17" s="50" t="str"/>
      <x:c r="H17" s="56" t="str"/>
      <x:c r="I17" s="53" t="str">
        <x:v>Metadata only</x:v>
      </x:c>
      <x:c r="J17" s="53" t="str">
        <x:v>File, length and URL are placeholders</x:v>
      </x:c>
      <x:c r="K17" s="53" t="str">
        <x:v>deliverables/passenger-pigeon/07-youtube-shorts-metadata.md</x:v>
      </x:c>
      <x:c r="L17" s="40" t="str">
        <x:f>IF(AND(F17="Scheduled",E17&lt;NOW()),"Yayını doğrula","")</x:f>
      </x:c>
    </x:row>
    <x:row r="18" ht="30" customHeight="1">
      <x:c r="A18" s="56" t="n">
        <x:v>5</x:v>
      </x:c>
      <x:c r="B18" s="40" t="str">
        <x:v>Carolina parakeet</x:v>
      </x:c>
      <x:c r="C18" s="56" t="str">
        <x:v>Long</x:v>
      </x:c>
      <x:c r="D18" s="53" t="str">
        <x:v>The Carolina Parakeet: America's Lost Native Parrot</x:v>
      </x:c>
      <x:c r="E18" s="62" t="n">
        <x:v>46229.916666666664</x:v>
      </x:c>
      <x:c r="F18" s="56" t="str">
        <x:v>Published</x:v>
      </x:c>
      <x:c r="G18" s="50" t="str">
        <x:v>https://youtu.be/NYnu9_0EXis</x:v>
      </x:c>
      <x:c r="H18" s="56" t="str">
        <x:v>On</x:v>
      </x:c>
      <x:c r="I18" s="53" t="str">
        <x:v>Published</x:v>
      </x:c>
      <x:c r="J18" s="53" t="str"/>
      <x:c r="K18" s="53" t="str">
        <x:v>deliverables/carolina-parakeet/08-youtube-upload-schedule.md</x:v>
      </x:c>
      <x:c r="L18" s="40" t="str">
        <x:f>IF(AND(F18="Scheduled",E18&lt;NOW()),"Yayını doğrula","")</x:f>
      </x:c>
    </x:row>
    <x:row r="19" ht="30" customHeight="1">
      <x:c r="A19" s="56" t="n">
        <x:v>5</x:v>
      </x:c>
      <x:c r="B19" s="40" t="str">
        <x:v>Carolina parakeet</x:v>
      </x:c>
      <x:c r="C19" s="56" t="str">
        <x:v>Short</x:v>
      </x:c>
      <x:c r="D19" s="53" t="str">
        <x:v>The Last Known Carolina Parakeet</x:v>
      </x:c>
      <x:c r="E19" s="62" t="n">
        <x:v>46229.958333333336</x:v>
      </x:c>
      <x:c r="F19" s="56" t="str">
        <x:v>Published</x:v>
      </x:c>
      <x:c r="G19" s="50" t="str">
        <x:v>https://youtu.be/7sozsH7SKd0</x:v>
      </x:c>
      <x:c r="H19" s="56" t="str">
        <x:v>On</x:v>
      </x:c>
      <x:c r="I19" s="53" t="str">
        <x:v>Published</x:v>
      </x:c>
      <x:c r="J19" s="53" t="str"/>
      <x:c r="K19" s="53" t="str">
        <x:v>deliverables/carolina-parakeet/08-youtube-upload-schedule.md</x:v>
      </x:c>
      <x:c r="L19" s="40" t="str">
        <x:f>IF(AND(F19="Scheduled",E19&lt;NOW()),"Yayını doğrula","")</x:f>
      </x:c>
    </x:row>
    <x:row r="20" ht="30" customHeight="1">
      <x:c r="A20" s="56" t="n">
        <x:v>5</x:v>
      </x:c>
      <x:c r="B20" s="40" t="str">
        <x:v>Carolina parakeet</x:v>
      </x:c>
      <x:c r="C20" s="56" t="str">
        <x:v>Short</x:v>
      </x:c>
      <x:c r="D20" s="53" t="str">
        <x:v>America Once Had a Native Parrot</x:v>
      </x:c>
      <x:c r="E20" s="62" t="n">
        <x:v>46230.75</x:v>
      </x:c>
      <x:c r="F20" s="56" t="str">
        <x:v>Published</x:v>
      </x:c>
      <x:c r="G20" s="50" t="str">
        <x:v>https://youtu.be/ZOD13oRNY9c</x:v>
      </x:c>
      <x:c r="H20" s="56" t="str">
        <x:v>On</x:v>
      </x:c>
      <x:c r="I20" s="53" t="str">
        <x:v>Published</x:v>
      </x:c>
      <x:c r="J20" s="53" t="str"/>
      <x:c r="K20" s="53" t="str">
        <x:v>deliverables/carolina-parakeet/08-youtube-upload-schedule.md</x:v>
      </x:c>
      <x:c r="L20" s="40" t="str">
        <x:f>IF(AND(F20="Scheduled",E20&lt;NOW()),"Yayını doğrula","")</x:f>
      </x:c>
    </x:row>
    <x:row r="21" ht="30" customHeight="1">
      <x:c r="A21" s="56" t="n">
        <x:v>5</x:v>
      </x:c>
      <x:c r="B21" s="40" t="str">
        <x:v>Carolina parakeet</x:v>
      </x:c>
      <x:c r="C21" s="56" t="str">
        <x:v>Short</x:v>
      </x:c>
      <x:c r="D21" s="53" t="str">
        <x:v>Why a Bright Bird Was Not Safe</x:v>
      </x:c>
      <x:c r="E21" s="62" t="n">
        <x:v>46230.958333333336</x:v>
      </x:c>
      <x:c r="F21" s="56" t="str">
        <x:v>Published</x:v>
      </x:c>
      <x:c r="G21" s="50" t="str">
        <x:v>https://youtu.be/zJNosL369s4</x:v>
      </x:c>
      <x:c r="H21" s="56" t="str">
        <x:v>Off</x:v>
      </x:c>
      <x:c r="I21" s="53" t="str">
        <x:v>Published</x:v>
      </x:c>
      <x:c r="J21" s="53" t="str"/>
      <x:c r="K21" s="53" t="str">
        <x:v>deliverables/carolina-parakeet/08-youtube-upload-schedule.md</x:v>
      </x:c>
      <x:c r="L21" s="40" t="str">
        <x:f>IF(AND(F21="Scheduled",E21&lt;NOW()),"Yayını doğrula","")</x:f>
      </x:c>
    </x:row>
    <x:row r="22" ht="30" customHeight="1">
      <x:c r="A22" s="56" t="n">
        <x:v>6</x:v>
      </x:c>
      <x:c r="B22" s="40" t="str">
        <x:v>Pinta Island tortoise</x:v>
      </x:c>
      <x:c r="C22" s="56" t="str">
        <x:v>Long</x:v>
      </x:c>
      <x:c r="D22" s="53" t="str">
        <x:v>The Pinta Island Tortoise: The Species That Ended With One</x:v>
      </x:c>
      <x:c r="E22" s="62" t="n">
        <x:v>46231.916666666664</x:v>
      </x:c>
      <x:c r="F22" s="56" t="str">
        <x:v>Scheduled</x:v>
      </x:c>
      <x:c r="G22" s="50" t="str">
        <x:v>https://youtu.be/aDdnYy8JPkU</x:v>
      </x:c>
      <x:c r="H22" s="56" t="str">
        <x:v>On</x:v>
      </x:c>
      <x:c r="I22" s="53" t="str">
        <x:v>Uploaded</x:v>
      </x:c>
      <x:c r="J22" s="53" t="str"/>
      <x:c r="K22" s="53" t="str">
        <x:v>deliverables/pinta-island-tortoise/08-youtube-upload-schedule.md</x:v>
      </x:c>
      <x:c r="L22" s="40" t="str">
        <x:f>IF(AND(F22="Scheduled",E22&lt;NOW()),"Yayını doğrula","")</x:f>
        <x:v>Yayını doğrula</x:v>
      </x:c>
    </x:row>
    <x:row r="23" ht="30" customHeight="1">
      <x:c r="A23" s="56" t="n">
        <x:v>6</x:v>
      </x:c>
      <x:c r="B23" s="40" t="str">
        <x:v>Pinta Island tortoise</x:v>
      </x:c>
      <x:c r="C23" s="56" t="str">
        <x:v>Short</x:v>
      </x:c>
      <x:c r="D23" s="53" t="str">
        <x:v>When One Death Ended a Species</x:v>
      </x:c>
      <x:c r="E23" s="62" t="n">
        <x:v>46231.958333333336</x:v>
      </x:c>
      <x:c r="F23" s="56" t="str">
        <x:v>Scheduled</x:v>
      </x:c>
      <x:c r="G23" s="50" t="str">
        <x:v>https://youtu.be/77iw1XUlF18</x:v>
      </x:c>
      <x:c r="H23" s="56" t="str">
        <x:v>On</x:v>
      </x:c>
      <x:c r="I23" s="53" t="str">
        <x:v>Uploaded</x:v>
      </x:c>
      <x:c r="J23" s="53" t="str"/>
      <x:c r="K23" s="53" t="str">
        <x:v>deliverables/pinta-island-tortoise/08-youtube-upload-schedule.md</x:v>
      </x:c>
      <x:c r="L23" s="40" t="str">
        <x:f>IF(AND(F23="Scheduled",E23&lt;NOW()),"Yayını doğrula","")</x:f>
        <x:v>Yayını doğrula</x:v>
      </x:c>
    </x:row>
    <x:row r="24" ht="30" customHeight="1">
      <x:c r="A24" s="56" t="n">
        <x:v>6</x:v>
      </x:c>
      <x:c r="B24" s="40" t="str">
        <x:v>Pinta Island tortoise</x:v>
      </x:c>
      <x:c r="C24" s="56" t="str">
        <x:v>Short</x:v>
      </x:c>
      <x:c r="D24" s="53" t="str">
        <x:v>The Giant That Shaped Pinta</x:v>
      </x:c>
      <x:c r="E24" s="62" t="n">
        <x:v>46232.75</x:v>
      </x:c>
      <x:c r="F24" s="56" t="str">
        <x:v>Scheduled</x:v>
      </x:c>
      <x:c r="G24" s="50" t="str">
        <x:v>https://youtu.be/wAyFn95jYdw</x:v>
      </x:c>
      <x:c r="H24" s="56" t="str">
        <x:v>On</x:v>
      </x:c>
      <x:c r="I24" s="53" t="str">
        <x:v>Uploaded</x:v>
      </x:c>
      <x:c r="J24" s="53" t="str"/>
      <x:c r="K24" s="53" t="str">
        <x:v>deliverables/pinta-island-tortoise/08-youtube-upload-schedule.md</x:v>
      </x:c>
      <x:c r="L24" s="40" t="str">
        <x:f>IF(AND(F24="Scheduled",E24&lt;NOW()),"Yayını doğrula","")</x:f>
        <x:v>Yayını doğrula</x:v>
      </x:c>
    </x:row>
    <x:row r="25" ht="30" customHeight="1">
      <x:c r="A25" s="56" t="n">
        <x:v>6</x:v>
      </x:c>
      <x:c r="B25" s="40" t="str">
        <x:v>Pinta Island tortoise</x:v>
      </x:c>
      <x:c r="C25" s="56" t="str">
        <x:v>Short</x:v>
      </x:c>
      <x:c r="D25" s="53" t="str">
        <x:v>Why This Tortoise Had a Saddle Shell</x:v>
      </x:c>
      <x:c r="E25" s="62" t="n">
        <x:v>46232.958333333336</x:v>
      </x:c>
      <x:c r="F25" s="56" t="str">
        <x:v>Scheduled</x:v>
      </x:c>
      <x:c r="G25" s="50" t="str">
        <x:v>https://youtu.be/S5ssLbPosWk</x:v>
      </x:c>
      <x:c r="H25" s="56" t="str">
        <x:v>Off</x:v>
      </x:c>
      <x:c r="I25" s="53" t="str">
        <x:v>Uploaded</x:v>
      </x:c>
      <x:c r="J25" s="53" t="str"/>
      <x:c r="K25" s="53" t="str">
        <x:v>deliverables/pinta-island-tortoise/08-youtube-upload-schedule.md</x:v>
      </x:c>
      <x:c r="L25" s="40" t="str">
        <x:f>IF(AND(F25="Scheduled",E25&lt;NOW()),"Yayını doğrula","")</x:f>
        <x:v>Yayını doğrula</x:v>
      </x:c>
    </x:row>
    <x:row r="26" ht="30" customHeight="1">
      <x:c r="A26" s="56" t="n">
        <x:v>7</x:v>
      </x:c>
      <x:c r="B26" s="40" t="str">
        <x:v>Chinese paddlefish</x:v>
      </x:c>
      <x:c r="C26" s="56" t="str">
        <x:v>Long</x:v>
      </x:c>
      <x:c r="D26" s="53" t="str">
        <x:v>The Chinese Paddlefish: The River Giant We Lost</x:v>
      </x:c>
      <x:c r="E26" s="62" t="n">
        <x:v>46233.916666666664</x:v>
      </x:c>
      <x:c r="F26" s="56" t="str">
        <x:v>Scheduled</x:v>
      </x:c>
      <x:c r="G26" s="50" t="str">
        <x:v>https://youtu.be/XMgmhfdL3MY</x:v>
      </x:c>
      <x:c r="H26" s="56" t="str">
        <x:v>On</x:v>
      </x:c>
      <x:c r="I26" s="53" t="str">
        <x:v>Uploaded</x:v>
      </x:c>
      <x:c r="J26" s="53" t="str">
        <x:v>External English SRT and supplied thumbnail</x:v>
      </x:c>
      <x:c r="K26" s="53" t="str">
        <x:v>deliverables/chinese-paddlefish/08-youtube-upload-schedule.md</x:v>
      </x:c>
      <x:c r="L26" s="40" t="str">
        <x:f>IF(AND(F26="Scheduled",E26&lt;NOW()),"Yayını doğrula","")</x:f>
      </x:c>
    </x:row>
    <x:row r="27" ht="30" customHeight="1">
      <x:c r="A27" s="56" t="n">
        <x:v>7</x:v>
      </x:c>
      <x:c r="B27" s="40" t="str">
        <x:v>Chinese paddlefish</x:v>
      </x:c>
      <x:c r="C27" s="56" t="str">
        <x:v>Short</x:v>
      </x:c>
      <x:c r="D27" s="53" t="str">
        <x:v>The Last Signal Vanished in Hours</x:v>
      </x:c>
      <x:c r="E27" s="62" t="n">
        <x:v>46233.958333333336</x:v>
      </x:c>
      <x:c r="F27" s="56" t="str">
        <x:v>Scheduled</x:v>
      </x:c>
      <x:c r="G27" s="50" t="str">
        <x:v>https://youtu.be/7Ygwer506SM</x:v>
      </x:c>
      <x:c r="H27" s="56" t="str">
        <x:v>On</x:v>
      </x:c>
      <x:c r="I27" s="53" t="str">
        <x:v>Uploaded</x:v>
      </x:c>
      <x:c r="J27" s="53" t="str">
        <x:v>Sections 8 → 9</x:v>
      </x:c>
      <x:c r="K27" s="53" t="str">
        <x:v>deliverables/chinese-paddlefish/08-youtube-upload-schedule.md</x:v>
      </x:c>
      <x:c r="L27" s="40" t="str">
        <x:f>IF(AND(F27="Scheduled",E27&lt;NOW()),"Yayını doğrula","")</x:f>
      </x:c>
    </x:row>
    <x:row r="28" ht="30" customHeight="1">
      <x:c r="A28" s="56" t="n">
        <x:v>7</x:v>
      </x:c>
      <x:c r="B28" s="40" t="str">
        <x:v>Chinese paddlefish</x:v>
      </x:c>
      <x:c r="C28" s="56" t="str">
        <x:v>Short</x:v>
      </x:c>
      <x:c r="D28" s="53" t="str">
        <x:v>Why This Giant Fish Had to Keep Moving</x:v>
      </x:c>
      <x:c r="E28" s="62" t="n">
        <x:v>46234.75</x:v>
      </x:c>
      <x:c r="F28" s="56" t="str">
        <x:v>Scheduled</x:v>
      </x:c>
      <x:c r="G28" s="50" t="str">
        <x:v>https://youtu.be/OARj4lOhGjw</x:v>
      </x:c>
      <x:c r="H28" s="56" t="str">
        <x:v>On</x:v>
      </x:c>
      <x:c r="I28" s="53" t="str">
        <x:v>Uploaded</x:v>
      </x:c>
      <x:c r="J28" s="53" t="str">
        <x:v>Sections 4 → 5</x:v>
      </x:c>
      <x:c r="K28" s="53" t="str">
        <x:v>deliverables/chinese-paddlefish/08-youtube-upload-schedule.md</x:v>
      </x:c>
      <x:c r="L28" s="40" t="str">
        <x:f>IF(AND(F28="Scheduled",E28&lt;NOW()),"Yayını doğrula","")</x:f>
      </x:c>
    </x:row>
    <x:row r="29" ht="30" customHeight="1">
      <x:c r="A29" s="56" t="n">
        <x:v>7</x:v>
      </x:c>
      <x:c r="B29" s="40" t="str">
        <x:v>Chinese paddlefish</x:v>
      </x:c>
      <x:c r="C29" s="56" t="str">
        <x:v>Short</x:v>
      </x:c>
      <x:c r="D29" s="53" t="str">
        <x:v>A Fish Built Like No Other</x:v>
      </x:c>
      <x:c r="E29" s="62" t="n">
        <x:v>46234.958333333336</x:v>
      </x:c>
      <x:c r="F29" s="56" t="str">
        <x:v>Scheduled</x:v>
      </x:c>
      <x:c r="G29" s="50" t="str">
        <x:v>https://youtu.be/Is-Dl8x8saM</x:v>
      </x:c>
      <x:c r="H29" s="56" t="str">
        <x:v>Off</x:v>
      </x:c>
      <x:c r="I29" s="53" t="str">
        <x:v>Uploaded</x:v>
      </x:c>
      <x:c r="J29" s="53" t="str">
        <x:v>Sections 1 → 2</x:v>
      </x:c>
      <x:c r="K29" s="53" t="str">
        <x:v>deliverables/chinese-paddlefish/08-youtube-upload-schedule.md</x:v>
      </x:c>
      <x:c r="L29" s="40" t="str">
        <x:f>IF(AND(F29="Scheduled",E29&lt;NOW()),"Yayını doğrula","")</x:f>
      </x:c>
    </x:row>
    <x:row r="30" ht="30" customHeight="1">
      <x:c r="A30" s="56" t="n">
        <x:v>8</x:v>
      </x:c>
      <x:c r="B30" s="40" t="str">
        <x:v>Golden toad</x:v>
      </x:c>
      <x:c r="C30" s="56" t="str">
        <x:v>Long</x:v>
      </x:c>
      <x:c r="D30" s="53" t="str">
        <x:v>The Golden Toad: 1,500 to Zero in Two Years</x:v>
      </x:c>
      <x:c r="E30" s="62" t="n">
        <x:v>46235.916666666664</x:v>
      </x:c>
      <x:c r="F30" s="56" t="str">
        <x:v>Planned</x:v>
      </x:c>
      <x:c r="G30" s="50" t="str"/>
      <x:c r="H30" s="56" t="str">
        <x:v>On</x:v>
      </x:c>
      <x:c r="I30" s="53" t="str">
        <x:v>Package Ready</x:v>
      </x:c>
      <x:c r="J30" s="53" t="str">
        <x:v>Not uploaded</x:v>
      </x:c>
      <x:c r="K30" s="53" t="str">
        <x:v>deliverables/golden-toad/08-youtube-upload-schedule.md</x:v>
      </x:c>
      <x:c r="L30" s="40" t="str">
        <x:f>IF(AND(F30="Scheduled",E30&lt;NOW()),"Yayını doğrula","")</x:f>
      </x:c>
    </x:row>
    <x:row r="31" ht="30" customHeight="1">
      <x:c r="A31" s="56" t="n">
        <x:v>8</x:v>
      </x:c>
      <x:c r="B31" s="40" t="str">
        <x:v>Golden toad</x:v>
      </x:c>
      <x:c r="C31" s="56" t="str">
        <x:v>Short</x:v>
      </x:c>
      <x:c r="D31" s="53" t="str">
        <x:v>1,500 Golden Toads Became One</x:v>
      </x:c>
      <x:c r="E31" s="62" t="n">
        <x:v>46235.958333333336</x:v>
      </x:c>
      <x:c r="F31" s="56" t="str">
        <x:v>Planned</x:v>
      </x:c>
      <x:c r="G31" s="50" t="str"/>
      <x:c r="H31" s="56" t="str">
        <x:v>On</x:v>
      </x:c>
      <x:c r="I31" s="53" t="str">
        <x:v>Planned</x:v>
      </x:c>
      <x:c r="J31" s="53" t="str">
        <x:v>Not uploaded</x:v>
      </x:c>
      <x:c r="K31" s="53" t="str">
        <x:v>deliverables/golden-toad/08-youtube-upload-schedule.md</x:v>
      </x:c>
      <x:c r="L31" s="40" t="str">
        <x:f>IF(AND(F31="Scheduled",E31&lt;NOW()),"Yayını doğrula","")</x:f>
      </x:c>
    </x:row>
    <x:row r="32" ht="30" customHeight="1">
      <x:c r="A32" s="56" t="n">
        <x:v>8</x:v>
      </x:c>
      <x:c r="B32" s="40" t="str">
        <x:v>Golden toad</x:v>
      </x:c>
      <x:c r="C32" s="56" t="str">
        <x:v>Short</x:v>
      </x:c>
      <x:c r="D32" s="53" t="str">
        <x:v>The Golden Toad Had Two Very Different Faces</x:v>
      </x:c>
      <x:c r="E32" s="62" t="n">
        <x:v>46236.75</x:v>
      </x:c>
      <x:c r="F32" s="56" t="str">
        <x:v>Planned</x:v>
      </x:c>
      <x:c r="G32" s="50" t="str"/>
      <x:c r="H32" s="56" t="str">
        <x:v>On</x:v>
      </x:c>
      <x:c r="I32" s="53" t="str">
        <x:v>Planned</x:v>
      </x:c>
      <x:c r="J32" s="53" t="str">
        <x:v>Not uploaded</x:v>
      </x:c>
      <x:c r="K32" s="53" t="str">
        <x:v>deliverables/golden-toad/08-youtube-upload-schedule.md</x:v>
      </x:c>
      <x:c r="L32" s="40" t="str">
        <x:f>IF(AND(F32="Scheduled",E32&lt;NOW()),"Yayını doğrula","")</x:f>
      </x:c>
    </x:row>
    <x:row r="33" ht="30" customHeight="1">
      <x:c r="A33" s="57" t="n">
        <x:v>8</x:v>
      </x:c>
      <x:c r="B33" s="43" t="str">
        <x:v>Golden toad</x:v>
      </x:c>
      <x:c r="C33" s="57" t="str">
        <x:v>Short</x:v>
      </x:c>
      <x:c r="D33" s="54" t="str">
        <x:v>Its Forest Survived. The Golden Toad Did Not.</x:v>
      </x:c>
      <x:c r="E33" s="65" t="n">
        <x:v>46236.958333333336</x:v>
      </x:c>
      <x:c r="F33" s="57" t="str">
        <x:v>Planned</x:v>
      </x:c>
      <x:c r="G33" s="51" t="str"/>
      <x:c r="H33" s="57" t="str">
        <x:v>Off</x:v>
      </x:c>
      <x:c r="I33" s="54" t="str">
        <x:v>Planned</x:v>
      </x:c>
      <x:c r="J33" s="54" t="str">
        <x:v>Not uploaded</x:v>
      </x:c>
      <x:c r="K33" s="54" t="str">
        <x:v>deliverables/golden-toad/08-youtube-upload-schedule.md</x:v>
      </x:c>
      <x:c r="L33" s="43" t="str">
        <x:f>IF(AND(F33="Scheduled",E33&lt;NOW()),"Yayını doğrula","")</x:f>
      </x:c>
    </x:row>
  </x:sheetData>
  <x:mergeCells>
    <x:mergeCell ref="A1:L2"/>
    <x:mergeCell ref="A3:L3"/>
  </x:mergeCells>
  <x:conditionalFormatting sqref="F5:F33">
    <x:cfRule type="containsText" dxfId="12" priority="1" operator="containsText" text="Published"/>
    <x:cfRule type="containsText" dxfId="13" priority="2" operator="containsText" text="Scheduled"/>
    <x:cfRule type="containsText" dxfId="14" priority="3" operator="containsText" text="Package Ready"/>
    <x:cfRule type="containsText" dxfId="15" priority="4" operator="containsText" text="Planned"/>
    <x:cfRule type="containsText" dxfId="16" priority="5" operator="containsText" text="Made"/>
    <x:cfRule type="containsText" dxfId="17" priority="6" operator="containsText" text="Metadata Ready"/>
  </x:conditionalFormatting>
  <x:conditionalFormatting sqref="L5:L33">
    <x:cfRule type="containsText" dxfId="18" priority="7" operator="containsText" text="Yayını doğrula"/>
  </x:conditionalFormatting>
  <x:dataValidations count="2">
    <x:dataValidation type="list" sqref="F5:F80">
      <x:formula1>"Not Started,Metadata Ready,Made,Planned,Scheduled,Published"</x:formula1>
    </x:dataValidation>
    <x:dataValidation type="list" sqref="H5:H80">
      <x:formula1>"On,Off,"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a3119c5d34e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19" t="str">
        <x:v>DURUMLAR, YAYIN DÖNGÜSÜ VE GÜNCELLEME KURALLARI</x:v>
      </x:c>
      <x:c r="B1" s="119"/>
      <x:c r="C1" s="119"/>
      <x:c r="D1" s="119"/>
      <x:c r="E1" s="119"/>
      <x:c r="F1" s="119"/>
    </x:row>
    <x:row r="2">
      <x:c r="A2" s="119"/>
      <x:c r="B2" s="119"/>
      <x:c r="C2" s="119"/>
      <x:c r="D2" s="119"/>
      <x:c r="E2" s="119"/>
      <x:c r="F2" s="119"/>
    </x:row>
    <x:row r="4" ht="34" customHeight="1">
      <x:c r="A4" s="20" t="str">
        <x:v>Ana Video Durumu</x:v>
      </x:c>
      <x:c r="B4" s="21" t="str">
        <x:v>Short / Yayın Durumu</x:v>
      </x:c>
      <x:c r="C4" s="22" t="str">
        <x:v>Anlamı</x:v>
      </x:c>
    </x:row>
    <x:row r="5" ht="28" customHeight="1">
      <x:c r="A5" s="100" t="str">
        <x:v>Planned</x:v>
      </x:c>
      <x:c r="B5" s="100" t="str">
        <x:v>Not Started</x:v>
      </x:c>
      <x:c r="C5" s="100" t="str">
        <x:v>Sırada; araştırma veya üretim başlamadı</x:v>
      </x:c>
    </x:row>
    <x:row r="6" ht="28" customHeight="1">
      <x:c r="A6" s="102" t="str">
        <x:v>Researching</x:v>
      </x:c>
      <x:c r="B6" s="102" t="str">
        <x:v>Metadata Ready</x:v>
      </x:c>
      <x:c r="C6" s="102" t="str">
        <x:v>Araştırma / metin hazır; render veya upload yok</x:v>
      </x:c>
    </x:row>
    <x:row r="7" ht="28" customHeight="1">
      <x:c r="A7" s="102" t="str">
        <x:v>Package Ready</x:v>
      </x:c>
      <x:c r="B7" s="102" t="str">
        <x:v>Made</x:v>
      </x:c>
      <x:c r="C7" s="102" t="str">
        <x:v>İçerik paketi veya render dosyası hazır</x:v>
      </x:c>
    </x:row>
    <x:row r="8" ht="28" customHeight="1">
      <x:c r="A8" s="102" t="str">
        <x:v>Images Ready</x:v>
      </x:c>
      <x:c r="B8" s="102" t="str">
        <x:v>Planned</x:v>
      </x:c>
      <x:c r="C8" s="102" t="str">
        <x:v>Görseller tamam; sonraki üretim aşaması bekliyor</x:v>
      </x:c>
    </x:row>
    <x:row r="9" ht="28" customHeight="1">
      <x:c r="A9" s="102" t="str">
        <x:v>Audio Ready</x:v>
      </x:c>
      <x:c r="B9" s="102" t="str">
        <x:v>Scheduled</x:v>
      </x:c>
      <x:c r="C9" s="102" t="str">
        <x:v>Ses tamam veya yayın tarihi tanımlı</x:v>
      </x:c>
    </x:row>
    <x:row r="10" ht="28" customHeight="1">
      <x:c r="A10" s="102" t="str">
        <x:v>Rendering</x:v>
      </x:c>
      <x:c r="B10" s="102" t="str">
        <x:v>Published</x:v>
      </x:c>
      <x:c r="C10" s="102" t="str">
        <x:v>Render sürüyor veya yayın kamuya açık</x:v>
      </x:c>
    </x:row>
    <x:row r="11" ht="28" customHeight="1">
      <x:c r="A11" s="102" t="str">
        <x:v>Scheduled</x:v>
      </x:c>
      <x:c r="B11" s="102" t="str"/>
      <x:c r="C11" s="102" t="str">
        <x:v>Upload tamam; gelecekte yayınlanacak</x:v>
      </x:c>
    </x:row>
    <x:row r="12" ht="28" customHeight="1">
      <x:c r="A12" s="102" t="str">
        <x:v>Published</x:v>
      </x:c>
      <x:c r="B12" s="102" t="str"/>
      <x:c r="C12" s="102" t="str">
        <x:v>Kamuya açık ve URL doğrulanmış</x:v>
      </x:c>
    </x:row>
    <x:row r="13" ht="28" customHeight="1">
      <x:c r="A13" s="104" t="str">
        <x:v>Revisit Candidate</x:v>
      </x:c>
      <x:c r="B13" s="104" t="str"/>
      <x:c r="C13" s="104" t="str">
        <x:v>Daha sonra yeniden ele alınabilir</x:v>
      </x:c>
    </x:row>
    <x:row r="14" ht="28" customHeight="1"/>
    <x:row r="15" ht="28" customHeight="1">
      <x:c r="A15" s="85" t="str">
        <x:v>Standart 2 günlük yayın döngüsü — Europe/Istanbul</x:v>
      </x:c>
      <x:c r="B15" s="85"/>
      <x:c r="C15" s="85"/>
      <x:c r="D15" s="85"/>
      <x:c r="E15" s="85"/>
      <x:c r="F15" s="85"/>
    </x:row>
    <x:row r="16" ht="28" customHeight="1">
      <x:c r="A16" s="20" t="str">
        <x:v>Göreli gün</x:v>
      </x:c>
      <x:c r="B16" s="21" t="str">
        <x:v>Saat</x:v>
      </x:c>
      <x:c r="C16" s="22" t="str">
        <x:v>İçerik</x:v>
      </x:c>
    </x:row>
    <x:row r="17" ht="28" customHeight="1">
      <x:c r="A17" t="str">
        <x:v>Day 0</x:v>
      </x:c>
      <x:c r="B17" t="str">
        <x:v>22:00</x:v>
      </x:c>
      <x:c r="C17" t="str">
        <x:v>Uzun video</x:v>
      </x:c>
    </x:row>
    <x:row r="18" ht="28" customHeight="1">
      <x:c r="A18" t="str">
        <x:v>Day 0</x:v>
      </x:c>
      <x:c r="B18" t="str">
        <x:v>23:00</x:v>
      </x:c>
      <x:c r="C18" t="str">
        <x:v>Short 1 — en güçlü extinction/mystery hook</x:v>
      </x:c>
    </x:row>
    <x:row r="19" ht="28" customHeight="1">
      <x:c r="A19" t="str">
        <x:v>Day 1</x:v>
      </x:c>
      <x:c r="B19" t="str">
        <x:v>18:00</x:v>
      </x:c>
      <x:c r="C19" t="str">
        <x:v>Short 2 — keşif, ortam veya tür hook'u</x:v>
      </x:c>
    </x:row>
    <x:row r="20" ht="28" customHeight="1">
      <x:c r="A20" t="str">
        <x:v>Day 1</x:v>
      </x:c>
      <x:c r="B20" t="str">
        <x:v>23:00</x:v>
      </x:c>
      <x:c r="C20" t="str">
        <x:v>Short 3 — ekoloji, miras veya ikincil hook</x:v>
      </x:c>
    </x:row>
    <x:row r="21" ht="28" customHeight="1"/>
    <x:row r="22" ht="28" customHeight="1">
      <x:c r="A22" s="85" t="str">
        <x:v>Operasyon kuralları</x:v>
      </x:c>
      <x:c r="B22" s="85"/>
      <x:c r="C22" s="85"/>
      <x:c r="D22" s="85"/>
      <x:c r="E22" s="85"/>
      <x:c r="F22" s="85"/>
    </x:row>
    <x:row r="23" ht="28" customHeight="1">
      <x:c r="A23" s="129" t="str">
        <x:v>1</x:v>
      </x:c>
      <x:c r="B23" s="107" t="str">
        <x:v>Published, Scheduled veya Package Ready türleri yeni ana konu olarak tekrar önerme.</x:v>
      </x:c>
      <x:c r="C23" s="107" t="str"/>
      <x:c r="D23" s="107" t="str"/>
      <x:c r="E23" s="107" t="str"/>
      <x:c r="F23" s="107" t="str"/>
    </x:row>
    <x:row r="24" ht="28" customHeight="1">
      <x:c r="A24" s="130" t="str">
        <x:v>2</x:v>
      </x:c>
      <x:c r="B24" s="108" t="str">
        <x:v>Her video/Short sonrası durum, tarih ve URL alanlarını güncelle.</x:v>
      </x:c>
      <x:c r="C24" s="108" t="str"/>
      <x:c r="D24" s="108" t="str"/>
      <x:c r="E24" s="108" t="str"/>
      <x:c r="F24" s="108" t="str"/>
    </x:row>
    <x:row r="25" ht="28" customHeight="1">
      <x:c r="A25" s="130" t="str">
        <x:v>3</x:v>
      </x:c>
      <x:c r="B25" s="108" t="str">
        <x:v>Kanıt olmadan Published yazma; tarihi geçmiş Scheduled kaydı doğrulama uyarısı olarak bırak.</x:v>
      </x:c>
      <x:c r="C25" s="108" t="str"/>
      <x:c r="D25" s="108" t="str"/>
      <x:c r="E25" s="108" t="str"/>
      <x:c r="F25" s="108" t="str"/>
    </x:row>
    <x:row r="26" ht="28" customHeight="1">
      <x:c r="A26" s="130" t="str">
        <x:v>4</x:v>
      </x:c>
      <x:c r="B26" s="108" t="str">
        <x:v>Uzun videoyu Short'lardan önce yayınla; Short açıklamalarına kamuya açık uzun video URL'sini ekle.</x:v>
      </x:c>
      <x:c r="C26" s="108" t="str"/>
      <x:c r="D26" s="108" t="str"/>
      <x:c r="E26" s="108" t="str"/>
      <x:c r="F26" s="108" t="str"/>
    </x:row>
    <x:row r="27" ht="28" customHeight="1">
      <x:c r="A27" s="130" t="str">
        <x:v>5</x:v>
      </x:c>
      <x:c r="B27" s="108" t="str">
        <x:v>Son Day 1 Short bildirimini kapalı tut; 24 saatlik bildirim sınırını aşma.</x:v>
      </x:c>
      <x:c r="C27" s="108" t="str"/>
      <x:c r="D27" s="108" t="str"/>
      <x:c r="E27" s="108" t="str"/>
      <x:c r="F27" s="108" t="str"/>
    </x:row>
    <x:row r="28" ht="28" customHeight="1">
      <x:c r="A28" s="130" t="str">
        <x:v>6</x:v>
      </x:c>
      <x:c r="B28" s="108" t="str">
        <x:v>Bu Excel dosyası operasyonel takip kaynağıdır; yeni ilerleme önce buraya işlenir.</x:v>
      </x:c>
      <x:c r="C28" s="108" t="str"/>
      <x:c r="D28" s="108" t="str"/>
      <x:c r="E28" s="108" t="str"/>
      <x:c r="F28" s="108" t="str"/>
    </x:row>
    <x:row r="29" ht="28" customHeight="1">
      <x:c r="A29" s="131" t="str">
        <x:v>7</x:v>
      </x:c>
      <x:c r="B29" s="109" t="str">
        <x:v>Kaynak hücresine repo içindeki kanıt dosyasını yaz; dış kaynak varsa düz URL kullan.</x:v>
      </x:c>
      <x:c r="C29" s="109" t="str"/>
      <x:c r="D29" s="109" t="str"/>
      <x:c r="E29" s="109" t="str"/>
      <x:c r="F29" s="109" t="str"/>
    </x:row>
  </x:sheetData>
  <x:mergeCells>
    <x:mergeCell ref="A1:F2"/>
    <x:mergeCell ref="A15:F15"/>
    <x:mergeCell ref="A22:F22"/>
    <x:mergeCell ref="B23:F23"/>
    <x:mergeCell ref="B24:F24"/>
    <x:mergeCell ref="B25:F25"/>
    <x:mergeCell ref="B26:F26"/>
    <x:mergeCell ref="B27:F27"/>
    <x:mergeCell ref="B28:F28"/>
    <x:mergeCell ref="B29:F29"/>
  </x:mergeCells>
  <x:conditionalFormatting sqref="A5:B13">
    <x:cfRule type="containsText" dxfId="19" priority="1" operator="containsText" text="Published"/>
    <x:cfRule type="containsText" dxfId="20" priority="2" operator="containsText" text="Scheduled"/>
    <x:cfRule type="containsText" dxfId="21" priority="3" operator="containsText" text="Package Ready"/>
    <x:cfRule type="containsText" dxfId="22" priority="4" operator="containsText" text="Planned"/>
    <x:cfRule type="containsText" dxfId="23" priority="5" operator="containsText" text="Made"/>
    <x:cfRule type="containsText" dxfId="24" priority="6" operator="containsText" text="Metadata Ready"/>
  </x:conditionalFormatting>
  <x:pageMargins left="0.7" right="0.7" top="0.75" bottom="0.75" header="0.3" footer="0.3"/>
</x:worksheet>
</file>